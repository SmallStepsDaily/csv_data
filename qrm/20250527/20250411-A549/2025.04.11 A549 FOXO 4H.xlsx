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610" windowHeight="16890" activeTab="1"/>
  </bookViews>
  <sheets>
    <sheet name="手动" sheetId="1" r:id="rId1"/>
    <sheet name="Sheet2" sheetId="2" r:id="rId2"/>
  </sheets>
  <definedNames>
    <definedName name="_xlnm._FilterDatabase" localSheetId="0" hidden="1">手动!$A$3:$D$196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<sst xmlns="http://schemas.openxmlformats.org/spreadsheetml/2006/main" count="23" uniqueCount="17">
  <si>
    <t>ctrl</t>
  </si>
  <si>
    <t>gef</t>
  </si>
  <si>
    <t>afa</t>
  </si>
  <si>
    <t>dac</t>
  </si>
  <si>
    <t>osi</t>
  </si>
  <si>
    <t>alm</t>
  </si>
  <si>
    <t>vin</t>
  </si>
  <si>
    <t>Ctrl</t>
  </si>
  <si>
    <t>Gef</t>
  </si>
  <si>
    <t>Afa</t>
  </si>
  <si>
    <t>Dac</t>
  </si>
  <si>
    <t>Osi</t>
  </si>
  <si>
    <t>Alm</t>
  </si>
  <si>
    <t>Vin</t>
  </si>
  <si>
    <t>control</t>
  </si>
  <si>
    <t>control_mean</t>
  </si>
  <si>
    <t>control_std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</si>
</sst>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96"/>
  <sheetViews>
    <sheetView topLeftCell="AA27" workbookViewId="0">
      <selection activeCell="AP4" sqref="AP4:AP55"/>
    </sheetView>
  </sheetViews>
  <sheetFormatPr defaultColWidth="9" defaultRowHeight="14"/>
  <sheetData>
    <row r="1" spans="2:38">
      <c r="B1" t="s">
        <v>0</v>
      </c>
      <c r="H1" t="s">
        <v>1</v>
      </c>
      <c r="N1" t="s">
        <v>2</v>
      </c>
      <c r="U1" t="s">
        <v>3</v>
      </c>
      <c r="Z1" t="s">
        <v>4</v>
      </c>
      <c r="AF1" t="s">
        <v>5</v>
      </c>
      <c r="AL1" t="s">
        <v>6</v>
      </c>
    </row>
    <row r="3" spans="1:39">
      <c r="A3">
        <v>1</v>
      </c>
      <c r="B3">
        <v>0</v>
      </c>
      <c r="C3">
        <v>11547.4947019868</v>
      </c>
      <c r="F3">
        <v>2.52149041443164</v>
      </c>
      <c r="H3">
        <v>0</v>
      </c>
      <c r="I3">
        <v>2887.19986807388</v>
      </c>
      <c r="N3">
        <v>0</v>
      </c>
      <c r="O3">
        <v>12558.44921875</v>
      </c>
      <c r="T3">
        <v>0</v>
      </c>
      <c r="U3">
        <v>1897.32092756942</v>
      </c>
      <c r="Z3">
        <v>0</v>
      </c>
      <c r="AA3">
        <v>10307.5761610398</v>
      </c>
      <c r="AD3">
        <v>3.52048470933183</v>
      </c>
      <c r="AF3">
        <v>0</v>
      </c>
      <c r="AG3">
        <v>387.281635802469</v>
      </c>
      <c r="AL3">
        <v>0</v>
      </c>
      <c r="AM3">
        <v>6813.22637590862</v>
      </c>
    </row>
    <row r="4" spans="1:42">
      <c r="A4">
        <v>2</v>
      </c>
      <c r="C4">
        <v>7432.48420448018</v>
      </c>
      <c r="D4">
        <f>C3/C4</f>
        <v>1.55365210127539</v>
      </c>
      <c r="F4">
        <v>2.32531785135011</v>
      </c>
      <c r="I4">
        <v>3231.5391198044</v>
      </c>
      <c r="J4">
        <f>I3/I4</f>
        <v>0.893444195176148</v>
      </c>
      <c r="L4">
        <v>2.99156615226115</v>
      </c>
      <c r="O4">
        <v>10057.6898016997</v>
      </c>
      <c r="P4">
        <f>O3/O4</f>
        <v>1.2486415336281</v>
      </c>
      <c r="R4">
        <v>3.6231429383785</v>
      </c>
      <c r="U4">
        <v>1653.21451787649</v>
      </c>
      <c r="V4">
        <f>U3/U4</f>
        <v>1.14765561701362</v>
      </c>
      <c r="X4">
        <v>3.71638648676079</v>
      </c>
      <c r="AA4">
        <v>7050.67375886525</v>
      </c>
      <c r="AB4">
        <f>AA3/AA4</f>
        <v>1.46192782612859</v>
      </c>
      <c r="AD4">
        <v>3.32288346836839</v>
      </c>
      <c r="AG4">
        <v>595.833988212181</v>
      </c>
      <c r="AH4">
        <f>AG3/AG4</f>
        <v>0.649982450589165</v>
      </c>
      <c r="AJ4">
        <v>2.97610911280018</v>
      </c>
      <c r="AM4">
        <v>5144.3838028169</v>
      </c>
      <c r="AN4">
        <f>AM3/AM4</f>
        <v>1.32440086841458</v>
      </c>
      <c r="AP4">
        <v>2.53845159910315</v>
      </c>
    </row>
    <row r="5" spans="1:42">
      <c r="A5">
        <v>1</v>
      </c>
      <c r="C5">
        <v>1140.69967707212</v>
      </c>
      <c r="D5">
        <f t="shared" ref="D5:D68" si="0">C4/C5</f>
        <v>6.51572394896914</v>
      </c>
      <c r="F5">
        <v>2.30405573990556</v>
      </c>
      <c r="I5">
        <v>3543.45270558159</v>
      </c>
      <c r="J5">
        <f t="shared" ref="J5:J68" si="1">I4/I5</f>
        <v>0.911974672249507</v>
      </c>
      <c r="L5">
        <v>2.32662209621089</v>
      </c>
      <c r="O5">
        <v>1587.22992565056</v>
      </c>
      <c r="P5">
        <f t="shared" ref="P5:P68" si="2">O4/O5</f>
        <v>6.33663065392202</v>
      </c>
      <c r="R5">
        <v>3.36402405520392</v>
      </c>
      <c r="U5">
        <v>2362.50260416667</v>
      </c>
      <c r="V5">
        <f t="shared" ref="V5:V68" si="3">U4/U5</f>
        <v>0.699772569545857</v>
      </c>
      <c r="X5">
        <v>3.47419061760187</v>
      </c>
      <c r="AA5">
        <v>1076.59300731261</v>
      </c>
      <c r="AB5">
        <f t="shared" ref="AB5:AB68" si="4">AA4/AA5</f>
        <v>6.54906144752429</v>
      </c>
      <c r="AD5">
        <v>3.18861943669915</v>
      </c>
      <c r="AG5">
        <v>348.303356668462</v>
      </c>
      <c r="AH5">
        <f t="shared" ref="AH5:AH68" si="5">AG4/AG5</f>
        <v>1.71067541212167</v>
      </c>
      <c r="AJ5">
        <v>2.22621979280156</v>
      </c>
      <c r="AM5">
        <v>20116.0906801008</v>
      </c>
      <c r="AN5">
        <f t="shared" ref="AN5:AN68" si="6">AM4/AM5</f>
        <v>0.255734768978041</v>
      </c>
      <c r="AP5">
        <v>2.3701170907071</v>
      </c>
    </row>
    <row r="6" spans="1:42">
      <c r="A6">
        <v>2</v>
      </c>
      <c r="C6">
        <v>1483.77094446188</v>
      </c>
      <c r="D6">
        <f t="shared" si="0"/>
        <v>0.768784212502435</v>
      </c>
      <c r="F6">
        <v>2.22813832406568</v>
      </c>
      <c r="I6">
        <v>3804.60618708569</v>
      </c>
      <c r="J6">
        <f t="shared" si="1"/>
        <v>0.931358603581481</v>
      </c>
      <c r="L6">
        <v>2.27161183293381</v>
      </c>
      <c r="O6">
        <v>1143.35836734694</v>
      </c>
      <c r="P6">
        <f t="shared" si="2"/>
        <v>1.3882173524768</v>
      </c>
      <c r="R6">
        <v>3.30864849733818</v>
      </c>
      <c r="U6">
        <v>4982.03439070352</v>
      </c>
      <c r="V6">
        <f t="shared" si="3"/>
        <v>0.474204395010822</v>
      </c>
      <c r="X6">
        <v>3.31667341002229</v>
      </c>
      <c r="AA6">
        <v>894.609850107066</v>
      </c>
      <c r="AB6">
        <f t="shared" si="4"/>
        <v>1.20342181251834</v>
      </c>
      <c r="AD6">
        <v>2.97772486092631</v>
      </c>
      <c r="AG6">
        <v>370.854454203262</v>
      </c>
      <c r="AH6">
        <f t="shared" si="5"/>
        <v>0.939191514948234</v>
      </c>
      <c r="AJ6">
        <v>2.21366993547695</v>
      </c>
      <c r="AM6">
        <v>15326.8550446999</v>
      </c>
      <c r="AN6">
        <f t="shared" si="6"/>
        <v>1.31247347361434</v>
      </c>
      <c r="AP6">
        <v>1.76130537812766</v>
      </c>
    </row>
    <row r="7" spans="1:42">
      <c r="A7">
        <v>1</v>
      </c>
      <c r="C7">
        <v>1281.04616316028</v>
      </c>
      <c r="D7">
        <f t="shared" si="0"/>
        <v>1.15824939579186</v>
      </c>
      <c r="F7">
        <v>1.8282725290288</v>
      </c>
      <c r="I7">
        <v>1524.63501094092</v>
      </c>
      <c r="J7">
        <f t="shared" si="1"/>
        <v>2.49542097602606</v>
      </c>
      <c r="L7">
        <v>2.03139291867802</v>
      </c>
      <c r="O7">
        <v>1080.98955790616</v>
      </c>
      <c r="P7">
        <f t="shared" si="2"/>
        <v>1.05769603321755</v>
      </c>
      <c r="R7">
        <v>3.09152415408568</v>
      </c>
      <c r="T7">
        <v>1</v>
      </c>
      <c r="U7">
        <v>9117.62699538843</v>
      </c>
      <c r="V7">
        <f t="shared" si="3"/>
        <v>0.546417877505119</v>
      </c>
      <c r="X7">
        <v>2.5950974650543</v>
      </c>
      <c r="AA7">
        <v>1178.64019988895</v>
      </c>
      <c r="AB7">
        <f t="shared" si="4"/>
        <v>0.75901861330655</v>
      </c>
      <c r="AD7">
        <v>2.63749033058641</v>
      </c>
      <c r="AG7">
        <v>458.585858585859</v>
      </c>
      <c r="AH7">
        <f t="shared" si="5"/>
        <v>0.80869143097187</v>
      </c>
      <c r="AJ7">
        <v>2.19942388728063</v>
      </c>
      <c r="AM7">
        <v>8092.71335412532</v>
      </c>
      <c r="AN7">
        <f t="shared" si="6"/>
        <v>1.89390805951219</v>
      </c>
      <c r="AP7">
        <v>1.75147723108926</v>
      </c>
    </row>
    <row r="8" spans="1:42">
      <c r="A8">
        <v>2</v>
      </c>
      <c r="C8">
        <v>1162.75431034483</v>
      </c>
      <c r="D8">
        <f t="shared" si="0"/>
        <v>1.10173417699941</v>
      </c>
      <c r="F8">
        <v>1.56991131845459</v>
      </c>
      <c r="I8">
        <v>1528.72675086108</v>
      </c>
      <c r="J8">
        <f t="shared" si="1"/>
        <v>0.997323432773152</v>
      </c>
      <c r="L8">
        <v>1.98894594084391</v>
      </c>
      <c r="O8">
        <v>923.778080326753</v>
      </c>
      <c r="P8">
        <f t="shared" si="2"/>
        <v>1.170183165121</v>
      </c>
      <c r="R8">
        <v>3.05873611500101</v>
      </c>
      <c r="U8">
        <v>4678.76416639371</v>
      </c>
      <c r="V8">
        <f t="shared" si="3"/>
        <v>1.94872549056391</v>
      </c>
      <c r="X8">
        <v>2.24559664434385</v>
      </c>
      <c r="AA8">
        <v>1080.55957836847</v>
      </c>
      <c r="AB8">
        <f t="shared" si="4"/>
        <v>1.09076836065677</v>
      </c>
      <c r="AD8">
        <v>2.37260354993185</v>
      </c>
      <c r="AG8">
        <v>514.688806473365</v>
      </c>
      <c r="AH8">
        <f t="shared" si="5"/>
        <v>0.890996370657598</v>
      </c>
      <c r="AJ8">
        <v>2.01863944160119</v>
      </c>
      <c r="AM8">
        <v>4620.50731261426</v>
      </c>
      <c r="AN8">
        <f t="shared" si="6"/>
        <v>1.75147723108926</v>
      </c>
      <c r="AP8">
        <v>1.67885881768308</v>
      </c>
    </row>
    <row r="9" spans="1:42">
      <c r="A9">
        <v>1</v>
      </c>
      <c r="B9">
        <v>1</v>
      </c>
      <c r="C9">
        <v>1902.93548387097</v>
      </c>
      <c r="D9">
        <f t="shared" si="0"/>
        <v>0.611031913693439</v>
      </c>
      <c r="F9">
        <v>1.55365210127539</v>
      </c>
      <c r="H9">
        <v>1</v>
      </c>
      <c r="I9">
        <v>386.82151318907</v>
      </c>
      <c r="J9">
        <f t="shared" si="1"/>
        <v>3.95202101935285</v>
      </c>
      <c r="L9">
        <v>1.97947365481874</v>
      </c>
      <c r="N9">
        <v>1</v>
      </c>
      <c r="O9">
        <v>1109.06969508401</v>
      </c>
      <c r="P9">
        <f t="shared" si="2"/>
        <v>0.832930594372411</v>
      </c>
      <c r="R9">
        <v>3.03011715203289</v>
      </c>
      <c r="U9">
        <v>2331.1774879501</v>
      </c>
      <c r="V9">
        <f t="shared" si="3"/>
        <v>2.00703901379381</v>
      </c>
      <c r="X9">
        <v>2.00624570176498</v>
      </c>
      <c r="AA9">
        <v>1115.80596703526</v>
      </c>
      <c r="AB9">
        <f t="shared" si="4"/>
        <v>0.968411722371013</v>
      </c>
      <c r="AD9">
        <v>2.35071571627193</v>
      </c>
      <c r="AG9">
        <v>1699.17563043963</v>
      </c>
      <c r="AH9">
        <f t="shared" si="5"/>
        <v>0.302905007141727</v>
      </c>
      <c r="AJ9">
        <v>1.98192175956336</v>
      </c>
      <c r="AL9">
        <v>1</v>
      </c>
      <c r="AM9">
        <v>2332.44245449207</v>
      </c>
      <c r="AN9">
        <f t="shared" si="6"/>
        <v>1.98097376581171</v>
      </c>
      <c r="AP9">
        <v>1.66845953736264</v>
      </c>
    </row>
    <row r="10" spans="1:42">
      <c r="A10">
        <v>2</v>
      </c>
      <c r="C10">
        <v>3304.15605567071</v>
      </c>
      <c r="D10">
        <f t="shared" si="0"/>
        <v>0.575921794191616</v>
      </c>
      <c r="F10">
        <v>1.49691071144703</v>
      </c>
      <c r="I10">
        <v>368.477764051884</v>
      </c>
      <c r="J10">
        <f t="shared" si="1"/>
        <v>1.04978251315757</v>
      </c>
      <c r="L10">
        <v>1.9438953666761</v>
      </c>
      <c r="O10">
        <v>897.574528301887</v>
      </c>
      <c r="P10">
        <f t="shared" si="2"/>
        <v>1.2356296442394</v>
      </c>
      <c r="R10">
        <v>2.9946261469658</v>
      </c>
      <c r="U10">
        <v>3621.91882129278</v>
      </c>
      <c r="V10">
        <f t="shared" si="3"/>
        <v>0.643630518233986</v>
      </c>
      <c r="X10">
        <v>1.94872549056391</v>
      </c>
      <c r="AA10">
        <v>874.697322467986</v>
      </c>
      <c r="AB10">
        <f t="shared" si="4"/>
        <v>1.27564808805745</v>
      </c>
      <c r="AD10">
        <v>2.2369142976488</v>
      </c>
      <c r="AG10">
        <v>876.538461538462</v>
      </c>
      <c r="AH10">
        <f t="shared" si="5"/>
        <v>1.93850664288856</v>
      </c>
      <c r="AJ10">
        <v>1.93850664288856</v>
      </c>
      <c r="AM10">
        <v>2257.52592592593</v>
      </c>
      <c r="AN10">
        <f t="shared" si="6"/>
        <v>1.03318523508669</v>
      </c>
      <c r="AP10">
        <v>1.64438943229983</v>
      </c>
    </row>
    <row r="11" spans="1:42">
      <c r="A11">
        <v>1</v>
      </c>
      <c r="C11">
        <v>1041.74356144224</v>
      </c>
      <c r="D11">
        <f t="shared" si="0"/>
        <v>3.17175567766051</v>
      </c>
      <c r="F11">
        <v>1.39276581870699</v>
      </c>
      <c r="I11">
        <v>9531.23682447521</v>
      </c>
      <c r="J11">
        <f t="shared" si="1"/>
        <v>0.0386600155717117</v>
      </c>
      <c r="L11">
        <v>1.57766537918489</v>
      </c>
      <c r="O11">
        <v>21486.2993595099</v>
      </c>
      <c r="P11">
        <f t="shared" si="2"/>
        <v>0.0417742726787718</v>
      </c>
      <c r="R11">
        <v>2.70782088310461</v>
      </c>
      <c r="U11">
        <v>959.890088884641</v>
      </c>
      <c r="V11">
        <f t="shared" si="3"/>
        <v>3.7732641093329</v>
      </c>
      <c r="X11">
        <v>1.55010911401629</v>
      </c>
      <c r="AA11">
        <v>866.610130904952</v>
      </c>
      <c r="AB11">
        <f t="shared" si="4"/>
        <v>1.00933198363904</v>
      </c>
      <c r="AD11">
        <v>2.22571955216035</v>
      </c>
      <c r="AF11">
        <v>1</v>
      </c>
      <c r="AG11">
        <v>420.721855983773</v>
      </c>
      <c r="AH11">
        <f t="shared" si="5"/>
        <v>2.0834155608314</v>
      </c>
      <c r="AJ11">
        <v>1.85582331245498</v>
      </c>
      <c r="AM11">
        <v>8619.29863945578</v>
      </c>
      <c r="AN11">
        <f t="shared" si="6"/>
        <v>0.261915269485136</v>
      </c>
      <c r="AP11">
        <v>1.63565169181608</v>
      </c>
    </row>
    <row r="12" spans="1:42">
      <c r="A12">
        <v>2</v>
      </c>
      <c r="C12">
        <v>1260.15993472052</v>
      </c>
      <c r="D12">
        <f t="shared" si="0"/>
        <v>0.826675672460004</v>
      </c>
      <c r="F12">
        <v>1.38611327705251</v>
      </c>
      <c r="I12">
        <v>4691.97107897664</v>
      </c>
      <c r="J12">
        <f t="shared" si="1"/>
        <v>2.03139291867802</v>
      </c>
      <c r="L12">
        <v>1.53607959558236</v>
      </c>
      <c r="O12">
        <v>7090.91374407583</v>
      </c>
      <c r="P12">
        <f t="shared" si="2"/>
        <v>3.03011715203289</v>
      </c>
      <c r="R12">
        <v>2.49893730105516</v>
      </c>
      <c r="U12">
        <v>952.297297297297</v>
      </c>
      <c r="V12">
        <f t="shared" si="3"/>
        <v>1.00797313150934</v>
      </c>
      <c r="X12">
        <v>1.46602123836321</v>
      </c>
      <c r="AA12">
        <v>783.428165007112</v>
      </c>
      <c r="AB12">
        <f t="shared" si="4"/>
        <v>1.10617688974341</v>
      </c>
      <c r="AD12">
        <v>2.11437116323283</v>
      </c>
      <c r="AG12">
        <v>297.097996751489</v>
      </c>
      <c r="AH12">
        <f t="shared" si="5"/>
        <v>1.41610465430264</v>
      </c>
      <c r="AJ12">
        <v>1.77598384094266</v>
      </c>
      <c r="AM12">
        <v>5166.02197802198</v>
      </c>
      <c r="AN12">
        <f t="shared" si="6"/>
        <v>1.66845953736264</v>
      </c>
      <c r="AP12">
        <v>1.63123017520619</v>
      </c>
    </row>
    <row r="13" spans="1:42">
      <c r="A13">
        <v>1</v>
      </c>
      <c r="C13">
        <v>35870.0181035762</v>
      </c>
      <c r="D13">
        <f t="shared" si="0"/>
        <v>0.0351312879486638</v>
      </c>
      <c r="F13">
        <v>1.3342902403077</v>
      </c>
      <c r="I13">
        <v>353.103099582326</v>
      </c>
      <c r="J13">
        <f t="shared" si="1"/>
        <v>13.2878218416282</v>
      </c>
      <c r="L13">
        <v>1.50221109978247</v>
      </c>
      <c r="O13">
        <v>1402.28587742672</v>
      </c>
      <c r="P13">
        <f t="shared" si="2"/>
        <v>5.05668199204009</v>
      </c>
      <c r="R13">
        <v>2.49443729241023</v>
      </c>
      <c r="T13">
        <v>2</v>
      </c>
      <c r="U13">
        <v>2379.97237296497</v>
      </c>
      <c r="V13">
        <f t="shared" si="3"/>
        <v>0.400129559533889</v>
      </c>
      <c r="X13">
        <v>1.41887775150461</v>
      </c>
      <c r="Z13">
        <v>1</v>
      </c>
      <c r="AA13">
        <v>1420.3314430682</v>
      </c>
      <c r="AB13">
        <f t="shared" si="4"/>
        <v>0.551581230444882</v>
      </c>
      <c r="AD13">
        <v>1.96782286855372</v>
      </c>
      <c r="AG13">
        <v>780.251315620588</v>
      </c>
      <c r="AH13">
        <f t="shared" si="5"/>
        <v>0.380772183017963</v>
      </c>
      <c r="AJ13">
        <v>1.7684012296672</v>
      </c>
      <c r="AM13">
        <v>12628.3640035907</v>
      </c>
      <c r="AN13">
        <f t="shared" si="6"/>
        <v>0.409080857706754</v>
      </c>
      <c r="AP13">
        <v>1.62663539400121</v>
      </c>
    </row>
    <row r="14" spans="1:42">
      <c r="A14">
        <v>2</v>
      </c>
      <c r="C14">
        <v>29548.0818540434</v>
      </c>
      <c r="D14">
        <f t="shared" si="0"/>
        <v>1.21395420118168</v>
      </c>
      <c r="F14">
        <v>1.28580595546947</v>
      </c>
      <c r="I14">
        <v>397.3350456621</v>
      </c>
      <c r="J14">
        <f t="shared" si="1"/>
        <v>0.888678467800221</v>
      </c>
      <c r="L14">
        <v>1.47790592054032</v>
      </c>
      <c r="O14">
        <v>1178.1499364676</v>
      </c>
      <c r="P14">
        <f t="shared" si="2"/>
        <v>1.19024398679776</v>
      </c>
      <c r="R14">
        <v>2.48724860534167</v>
      </c>
      <c r="U14">
        <v>1186.28160592255</v>
      </c>
      <c r="V14">
        <f t="shared" si="3"/>
        <v>2.00624570176498</v>
      </c>
      <c r="X14">
        <v>1.40989456193724</v>
      </c>
      <c r="AA14">
        <v>1016.52551451931</v>
      </c>
      <c r="AB14">
        <f t="shared" si="4"/>
        <v>1.39724131148822</v>
      </c>
      <c r="AD14">
        <v>1.8518446450776</v>
      </c>
      <c r="AG14">
        <v>643.997591522158</v>
      </c>
      <c r="AH14">
        <f t="shared" si="5"/>
        <v>1.21157489700603</v>
      </c>
      <c r="AJ14">
        <v>1.76318479205882</v>
      </c>
      <c r="AM14">
        <v>5328.16039051604</v>
      </c>
      <c r="AN14">
        <f t="shared" si="6"/>
        <v>2.3701170907071</v>
      </c>
      <c r="AP14">
        <v>1.57145470320886</v>
      </c>
    </row>
    <row r="15" spans="1:42">
      <c r="A15">
        <v>1</v>
      </c>
      <c r="C15">
        <v>3030.83101472995</v>
      </c>
      <c r="D15">
        <f t="shared" si="0"/>
        <v>9.7491683668402</v>
      </c>
      <c r="F15">
        <v>1.28316463018197</v>
      </c>
      <c r="H15">
        <v>2</v>
      </c>
      <c r="I15">
        <v>1758.87965745192</v>
      </c>
      <c r="J15">
        <f t="shared" si="1"/>
        <v>0.225902348678998</v>
      </c>
      <c r="L15">
        <v>1.43525622836836</v>
      </c>
      <c r="O15">
        <v>1769.54952523738</v>
      </c>
      <c r="P15">
        <f t="shared" si="2"/>
        <v>0.665790880483865</v>
      </c>
      <c r="R15">
        <v>2.48008362775002</v>
      </c>
      <c r="U15">
        <v>1055.02839708988</v>
      </c>
      <c r="V15">
        <f t="shared" si="3"/>
        <v>1.124407275856</v>
      </c>
      <c r="X15">
        <v>1.40237568539517</v>
      </c>
      <c r="AA15">
        <v>1073.14499161458</v>
      </c>
      <c r="AB15">
        <f t="shared" si="4"/>
        <v>0.947239676336667</v>
      </c>
      <c r="AD15">
        <v>1.84719830139072</v>
      </c>
      <c r="AG15">
        <v>3781.22085683589</v>
      </c>
      <c r="AH15">
        <f t="shared" si="5"/>
        <v>0.170314725297758</v>
      </c>
      <c r="AJ15">
        <v>1.67888058630695</v>
      </c>
      <c r="AM15">
        <v>2958.83900750144</v>
      </c>
      <c r="AN15">
        <f t="shared" si="6"/>
        <v>1.8007604932231</v>
      </c>
      <c r="AP15">
        <v>1.50463532104091</v>
      </c>
    </row>
    <row r="16" spans="1:42">
      <c r="A16">
        <v>2</v>
      </c>
      <c r="C16">
        <v>5117.0456182473</v>
      </c>
      <c r="D16">
        <f t="shared" si="0"/>
        <v>0.592300956614898</v>
      </c>
      <c r="F16">
        <v>1.27275156123658</v>
      </c>
      <c r="I16">
        <v>1356.35017497813</v>
      </c>
      <c r="J16">
        <f t="shared" si="1"/>
        <v>1.29677401153451</v>
      </c>
      <c r="L16">
        <v>1.39746072340936</v>
      </c>
      <c r="O16">
        <v>1197.0715835141</v>
      </c>
      <c r="P16">
        <f t="shared" si="2"/>
        <v>1.47823200350536</v>
      </c>
      <c r="R16">
        <v>2.33353424086545</v>
      </c>
      <c r="U16">
        <v>971.731452249408</v>
      </c>
      <c r="V16">
        <f t="shared" si="3"/>
        <v>1.08572012838285</v>
      </c>
      <c r="X16">
        <v>1.23193739508097</v>
      </c>
      <c r="AA16">
        <v>832.492721164614</v>
      </c>
      <c r="AB16">
        <f t="shared" si="4"/>
        <v>1.28907432381307</v>
      </c>
      <c r="AD16">
        <v>1.78454046770099</v>
      </c>
      <c r="AG16">
        <v>3808.46134347275</v>
      </c>
      <c r="AH16">
        <f t="shared" si="5"/>
        <v>0.992847377410422</v>
      </c>
      <c r="AJ16">
        <v>1.59680073070258</v>
      </c>
      <c r="AM16">
        <v>1808.96643356643</v>
      </c>
      <c r="AN16">
        <f t="shared" si="6"/>
        <v>1.63565169181608</v>
      </c>
      <c r="AP16">
        <v>1.50005930331817</v>
      </c>
    </row>
    <row r="17" spans="1:42">
      <c r="A17">
        <v>1</v>
      </c>
      <c r="B17">
        <v>2</v>
      </c>
      <c r="C17">
        <v>3388.61136158702</v>
      </c>
      <c r="D17">
        <f t="shared" si="0"/>
        <v>1.51007155209761</v>
      </c>
      <c r="F17">
        <v>1.26932669618238</v>
      </c>
      <c r="I17">
        <v>426.585351397121</v>
      </c>
      <c r="J17">
        <f t="shared" si="1"/>
        <v>3.17955169003322</v>
      </c>
      <c r="L17">
        <v>1.37882235674558</v>
      </c>
      <c r="O17">
        <v>990.736113936928</v>
      </c>
      <c r="P17">
        <f t="shared" si="2"/>
        <v>1.20826481105776</v>
      </c>
      <c r="R17">
        <v>2.23355949661524</v>
      </c>
      <c r="U17">
        <v>1268.74309090909</v>
      </c>
      <c r="V17">
        <f t="shared" si="3"/>
        <v>0.765900881913875</v>
      </c>
      <c r="X17">
        <v>1.22851597226774</v>
      </c>
      <c r="Z17">
        <v>2</v>
      </c>
      <c r="AA17">
        <v>2798.84153354633</v>
      </c>
      <c r="AB17">
        <f t="shared" si="4"/>
        <v>0.297441892006578</v>
      </c>
      <c r="AD17">
        <v>1.77810842788806</v>
      </c>
      <c r="AG17">
        <v>5352.30229898204</v>
      </c>
      <c r="AH17">
        <f t="shared" si="5"/>
        <v>0.71155572513105</v>
      </c>
      <c r="AJ17">
        <v>1.51655475021347</v>
      </c>
      <c r="AL17">
        <v>2</v>
      </c>
      <c r="AM17">
        <v>7140.98625886525</v>
      </c>
      <c r="AN17">
        <f t="shared" si="6"/>
        <v>0.253321651658504</v>
      </c>
      <c r="AP17">
        <v>1.43719896110922</v>
      </c>
    </row>
    <row r="18" spans="1:42">
      <c r="A18">
        <v>2</v>
      </c>
      <c r="C18">
        <v>3984.4963880289</v>
      </c>
      <c r="D18">
        <f t="shared" si="0"/>
        <v>0.850449098603234</v>
      </c>
      <c r="F18">
        <v>1.23666142899996</v>
      </c>
      <c r="I18">
        <v>427.893026652063</v>
      </c>
      <c r="J18">
        <f t="shared" si="1"/>
        <v>0.996943920154125</v>
      </c>
      <c r="L18">
        <v>1.32909241130589</v>
      </c>
      <c r="O18">
        <v>867.878337276107</v>
      </c>
      <c r="P18">
        <f t="shared" si="2"/>
        <v>1.14156105917613</v>
      </c>
      <c r="R18">
        <v>2.18953835381912</v>
      </c>
      <c r="U18">
        <v>1553.35349092908</v>
      </c>
      <c r="V18">
        <f t="shared" si="3"/>
        <v>0.81677679827419</v>
      </c>
      <c r="X18">
        <v>1.21463625396837</v>
      </c>
      <c r="AA18">
        <v>1684.86613249951</v>
      </c>
      <c r="AB18">
        <f t="shared" si="4"/>
        <v>1.66116552499885</v>
      </c>
      <c r="AD18">
        <v>1.75579425056162</v>
      </c>
      <c r="AG18">
        <v>2884.05812291567</v>
      </c>
      <c r="AH18">
        <f t="shared" si="5"/>
        <v>1.85582331245498</v>
      </c>
      <c r="AJ18">
        <v>1.49592755237906</v>
      </c>
      <c r="AM18">
        <v>8525.60146699266</v>
      </c>
      <c r="AN18">
        <f t="shared" si="6"/>
        <v>0.837593252102151</v>
      </c>
      <c r="AP18">
        <v>1.43603972719501</v>
      </c>
    </row>
    <row r="19" spans="1:42">
      <c r="A19">
        <v>1</v>
      </c>
      <c r="C19">
        <v>2765.01980499695</v>
      </c>
      <c r="D19">
        <f t="shared" si="0"/>
        <v>1.44103719648883</v>
      </c>
      <c r="F19">
        <v>1.22533523138089</v>
      </c>
      <c r="H19">
        <v>3</v>
      </c>
      <c r="I19">
        <v>6732.31160817586</v>
      </c>
      <c r="J19">
        <f t="shared" si="1"/>
        <v>0.0635581136993749</v>
      </c>
      <c r="L19">
        <v>1.29677401153451</v>
      </c>
      <c r="N19">
        <v>2</v>
      </c>
      <c r="O19">
        <v>17428.0599543205</v>
      </c>
      <c r="P19">
        <f t="shared" si="2"/>
        <v>0.049797759449465</v>
      </c>
      <c r="R19">
        <v>2.09582701475498</v>
      </c>
      <c r="T19">
        <v>3</v>
      </c>
      <c r="U19">
        <v>2372.23550434408</v>
      </c>
      <c r="V19">
        <f t="shared" si="3"/>
        <v>0.654805767844108</v>
      </c>
      <c r="X19">
        <v>1.20304926194344</v>
      </c>
      <c r="AA19">
        <v>1860.81192881193</v>
      </c>
      <c r="AB19">
        <f t="shared" si="4"/>
        <v>0.905446760315667</v>
      </c>
      <c r="AD19">
        <v>1.73707487231232</v>
      </c>
      <c r="AF19">
        <v>2</v>
      </c>
      <c r="AG19">
        <v>3928.03491590377</v>
      </c>
      <c r="AH19">
        <f t="shared" si="5"/>
        <v>0.734224156521302</v>
      </c>
      <c r="AJ19">
        <v>1.46938523443053</v>
      </c>
      <c r="AM19">
        <v>1986.03230472517</v>
      </c>
      <c r="AN19">
        <f t="shared" si="6"/>
        <v>4.29278086097016</v>
      </c>
      <c r="AP19">
        <v>1.39495582756923</v>
      </c>
    </row>
    <row r="20" spans="1:42">
      <c r="A20">
        <v>2</v>
      </c>
      <c r="C20">
        <v>4287.26452544208</v>
      </c>
      <c r="D20">
        <f t="shared" si="0"/>
        <v>0.644937999180686</v>
      </c>
      <c r="F20">
        <v>1.22005212937787</v>
      </c>
      <c r="I20">
        <v>4481.601559961</v>
      </c>
      <c r="J20">
        <f t="shared" si="1"/>
        <v>1.50221109978247</v>
      </c>
      <c r="L20">
        <v>1.18465350548645</v>
      </c>
      <c r="O20">
        <v>5267.42564776568</v>
      </c>
      <c r="P20">
        <f t="shared" si="2"/>
        <v>3.30864849733818</v>
      </c>
      <c r="R20">
        <v>2.07323142872724</v>
      </c>
      <c r="U20">
        <v>2480.82355273592</v>
      </c>
      <c r="V20">
        <f t="shared" si="3"/>
        <v>0.956229031979285</v>
      </c>
      <c r="X20">
        <v>1.15967203636817</v>
      </c>
      <c r="AA20">
        <v>1280.31676607025</v>
      </c>
      <c r="AB20">
        <f t="shared" si="4"/>
        <v>1.45339964149921</v>
      </c>
      <c r="AD20">
        <v>1.71336586923111</v>
      </c>
      <c r="AG20">
        <v>2221.23511904762</v>
      </c>
      <c r="AH20">
        <f t="shared" si="5"/>
        <v>1.7684012296672</v>
      </c>
      <c r="AJ20">
        <v>1.45124740728072</v>
      </c>
      <c r="AM20">
        <v>3210.80909571655</v>
      </c>
      <c r="AN20">
        <f t="shared" si="6"/>
        <v>0.618545745175158</v>
      </c>
      <c r="AP20">
        <v>1.35047788404462</v>
      </c>
    </row>
    <row r="21" spans="1:42">
      <c r="A21">
        <v>1</v>
      </c>
      <c r="C21">
        <v>26907.386437613</v>
      </c>
      <c r="D21">
        <f t="shared" si="0"/>
        <v>0.159334112043266</v>
      </c>
      <c r="F21">
        <v>1.21395420118168</v>
      </c>
      <c r="I21">
        <v>5221.54581783106</v>
      </c>
      <c r="J21">
        <f t="shared" si="1"/>
        <v>0.858290191509337</v>
      </c>
      <c r="L21">
        <v>1.18130453534705</v>
      </c>
      <c r="O21">
        <v>1477.24508240298</v>
      </c>
      <c r="P21">
        <f t="shared" si="2"/>
        <v>3.56570870366165</v>
      </c>
      <c r="R21">
        <v>2.01259055956808</v>
      </c>
      <c r="U21">
        <v>1192.06312467123</v>
      </c>
      <c r="V21">
        <f t="shared" si="3"/>
        <v>2.08111760308006</v>
      </c>
      <c r="X21">
        <v>1.14765561701362</v>
      </c>
      <c r="AA21">
        <v>954.812078690329</v>
      </c>
      <c r="AB21">
        <f t="shared" si="4"/>
        <v>1.34090968751296</v>
      </c>
      <c r="AD21">
        <v>1.70561311247869</v>
      </c>
      <c r="AG21">
        <v>1892.63578680203</v>
      </c>
      <c r="AH21">
        <f t="shared" si="5"/>
        <v>1.17361995083102</v>
      </c>
      <c r="AJ21">
        <v>1.45022504258472</v>
      </c>
      <c r="AM21">
        <v>2767.15034965035</v>
      </c>
      <c r="AN21">
        <f t="shared" si="6"/>
        <v>1.16033055309852</v>
      </c>
      <c r="AP21">
        <v>1.34722559112419</v>
      </c>
    </row>
    <row r="22" spans="1:42">
      <c r="A22">
        <v>2</v>
      </c>
      <c r="C22">
        <v>21959.2041006524</v>
      </c>
      <c r="D22">
        <f t="shared" si="0"/>
        <v>1.22533523138089</v>
      </c>
      <c r="F22">
        <v>1.15868500828008</v>
      </c>
      <c r="I22">
        <v>4449.33994334278</v>
      </c>
      <c r="J22">
        <f t="shared" si="1"/>
        <v>1.17355515297132</v>
      </c>
      <c r="L22">
        <v>1.17355515297132</v>
      </c>
      <c r="O22">
        <v>1221.39568965517</v>
      </c>
      <c r="P22">
        <f t="shared" si="2"/>
        <v>1.20947297826149</v>
      </c>
      <c r="R22">
        <v>1.98629525940926</v>
      </c>
      <c r="U22">
        <v>1107.60523255814</v>
      </c>
      <c r="V22">
        <f t="shared" si="3"/>
        <v>1.07625270234416</v>
      </c>
      <c r="X22">
        <v>1.12325495354579</v>
      </c>
      <c r="AA22">
        <v>794.47346141322</v>
      </c>
      <c r="AB22">
        <f t="shared" si="4"/>
        <v>1.20181746158254</v>
      </c>
      <c r="AD22">
        <v>1.67257290721917</v>
      </c>
      <c r="AG22">
        <v>1127.32007400555</v>
      </c>
      <c r="AH22">
        <f t="shared" si="5"/>
        <v>1.67888058630695</v>
      </c>
      <c r="AJ22">
        <v>1.41610465430264</v>
      </c>
      <c r="AM22">
        <v>2724.52614379085</v>
      </c>
      <c r="AN22">
        <f t="shared" si="6"/>
        <v>1.01564463088623</v>
      </c>
      <c r="AP22">
        <v>1.345370406969</v>
      </c>
    </row>
    <row r="23" spans="1:42">
      <c r="A23">
        <v>1</v>
      </c>
      <c r="B23">
        <v>3</v>
      </c>
      <c r="C23">
        <v>1130.5818805373</v>
      </c>
      <c r="D23">
        <f t="shared" si="0"/>
        <v>19.4229223718113</v>
      </c>
      <c r="F23">
        <v>1.1167634902857</v>
      </c>
      <c r="I23">
        <v>2642.01317829457</v>
      </c>
      <c r="J23">
        <f t="shared" si="1"/>
        <v>1.68407182064657</v>
      </c>
      <c r="L23">
        <v>1.12915851991504</v>
      </c>
      <c r="O23">
        <v>1365.23902696986</v>
      </c>
      <c r="P23">
        <f t="shared" si="2"/>
        <v>0.894638715658496</v>
      </c>
      <c r="R23">
        <v>1.91468757976961</v>
      </c>
      <c r="U23">
        <v>925.391462053571</v>
      </c>
      <c r="V23">
        <f t="shared" si="3"/>
        <v>1.19690452957088</v>
      </c>
      <c r="X23">
        <v>1.12213663547934</v>
      </c>
      <c r="Z23">
        <v>3</v>
      </c>
      <c r="AA23">
        <v>22912.6757887959</v>
      </c>
      <c r="AB23">
        <f t="shared" si="4"/>
        <v>0.0346739712435381</v>
      </c>
      <c r="AD23">
        <v>1.66116552499885</v>
      </c>
      <c r="AG23">
        <v>749.176368491322</v>
      </c>
      <c r="AH23">
        <f t="shared" si="5"/>
        <v>1.50474590686266</v>
      </c>
      <c r="AJ23">
        <v>1.29374576674003</v>
      </c>
      <c r="AM23">
        <v>1414.08894090111</v>
      </c>
      <c r="AN23">
        <f t="shared" si="6"/>
        <v>1.92670069398512</v>
      </c>
      <c r="AP23">
        <v>1.32440086841458</v>
      </c>
    </row>
    <row r="24" spans="1:42">
      <c r="A24">
        <v>2</v>
      </c>
      <c r="C24">
        <v>1690.44095744681</v>
      </c>
      <c r="D24">
        <f t="shared" si="0"/>
        <v>0.668808854610868</v>
      </c>
      <c r="F24">
        <v>1.11634345790986</v>
      </c>
      <c r="I24">
        <v>2706.02446808511</v>
      </c>
      <c r="J24">
        <f t="shared" si="1"/>
        <v>0.976344896158372</v>
      </c>
      <c r="L24">
        <v>1.10226342152812</v>
      </c>
      <c r="O24">
        <v>910.10686695279</v>
      </c>
      <c r="P24">
        <f t="shared" si="2"/>
        <v>1.50008650252353</v>
      </c>
      <c r="R24">
        <v>1.85520818145513</v>
      </c>
      <c r="U24">
        <v>984.793730650155</v>
      </c>
      <c r="V24">
        <f t="shared" si="3"/>
        <v>0.939680496790564</v>
      </c>
      <c r="X24">
        <v>1.08572012838285</v>
      </c>
      <c r="AA24">
        <v>17674.955913226</v>
      </c>
      <c r="AB24">
        <f t="shared" si="4"/>
        <v>1.2963356684613</v>
      </c>
      <c r="AD24">
        <v>1.61939817248881</v>
      </c>
      <c r="AG24">
        <v>602.810642377756</v>
      </c>
      <c r="AH24">
        <f t="shared" si="5"/>
        <v>1.24280547791299</v>
      </c>
      <c r="AJ24">
        <v>1.29245490262737</v>
      </c>
      <c r="AM24">
        <v>1694.76560121766</v>
      </c>
      <c r="AN24">
        <f t="shared" si="6"/>
        <v>0.834386147491495</v>
      </c>
      <c r="AP24">
        <v>1.31247347361434</v>
      </c>
    </row>
    <row r="25" spans="1:42">
      <c r="A25">
        <v>1</v>
      </c>
      <c r="C25">
        <v>2384.00669216061</v>
      </c>
      <c r="D25">
        <f t="shared" si="0"/>
        <v>0.709075592365378</v>
      </c>
      <c r="F25">
        <v>1.11471276235265</v>
      </c>
      <c r="H25">
        <v>4</v>
      </c>
      <c r="I25">
        <v>307.300348735833</v>
      </c>
      <c r="J25">
        <f t="shared" si="1"/>
        <v>8.80579693194983</v>
      </c>
      <c r="L25">
        <v>1.08979711586285</v>
      </c>
      <c r="O25">
        <v>1234.3673245614</v>
      </c>
      <c r="P25">
        <f t="shared" si="2"/>
        <v>0.737306350260181</v>
      </c>
      <c r="R25">
        <v>1.82247788312661</v>
      </c>
      <c r="U25">
        <v>1359.81776696075</v>
      </c>
      <c r="V25">
        <f t="shared" si="3"/>
        <v>0.72421007768652</v>
      </c>
      <c r="X25">
        <v>1.07625270234416</v>
      </c>
      <c r="AA25">
        <v>11162.5705972435</v>
      </c>
      <c r="AB25">
        <f t="shared" si="4"/>
        <v>1.58341268789742</v>
      </c>
      <c r="AD25">
        <v>1.60616844525507</v>
      </c>
      <c r="AG25">
        <v>4569.12692117005</v>
      </c>
      <c r="AH25">
        <f t="shared" si="5"/>
        <v>0.131931253558478</v>
      </c>
      <c r="AJ25">
        <v>1.28349390176494</v>
      </c>
      <c r="AM25">
        <v>2636.47368421053</v>
      </c>
      <c r="AN25">
        <f t="shared" si="6"/>
        <v>0.642815292019554</v>
      </c>
      <c r="AP25">
        <v>1.27780128889713</v>
      </c>
    </row>
    <row r="26" spans="1:42">
      <c r="A26">
        <v>2</v>
      </c>
      <c r="C26">
        <v>1786.72272354389</v>
      </c>
      <c r="D26">
        <f t="shared" si="0"/>
        <v>1.3342902403077</v>
      </c>
      <c r="F26">
        <v>1.10173417699941</v>
      </c>
      <c r="I26">
        <v>385.841333120714</v>
      </c>
      <c r="J26">
        <f t="shared" si="1"/>
        <v>0.796442273953297</v>
      </c>
      <c r="L26">
        <v>1.08917659450764</v>
      </c>
      <c r="O26">
        <v>801.732923497268</v>
      </c>
      <c r="P26">
        <f t="shared" si="2"/>
        <v>1.53962409224374</v>
      </c>
      <c r="R26">
        <v>1.81426112060878</v>
      </c>
      <c r="U26">
        <v>1362.59241478637</v>
      </c>
      <c r="V26">
        <f t="shared" si="3"/>
        <v>0.997963699345813</v>
      </c>
      <c r="X26">
        <v>1.04458133191285</v>
      </c>
      <c r="AA26">
        <v>3359.30245628643</v>
      </c>
      <c r="AB26">
        <f t="shared" si="4"/>
        <v>3.32288346836839</v>
      </c>
      <c r="AD26">
        <v>1.57058455788889</v>
      </c>
      <c r="AG26">
        <v>2572.73000791766</v>
      </c>
      <c r="AH26">
        <f t="shared" si="5"/>
        <v>1.77598384094266</v>
      </c>
      <c r="AJ26">
        <v>1.24280547791299</v>
      </c>
      <c r="AM26">
        <v>2136.70909090909</v>
      </c>
      <c r="AN26">
        <f t="shared" si="6"/>
        <v>1.23389454157693</v>
      </c>
      <c r="AP26">
        <v>1.25905737411433</v>
      </c>
    </row>
    <row r="27" spans="1:42">
      <c r="A27">
        <v>1</v>
      </c>
      <c r="C27">
        <v>1455.92258823529</v>
      </c>
      <c r="D27">
        <f t="shared" si="0"/>
        <v>1.2272099752979</v>
      </c>
      <c r="F27">
        <v>1.08581372641484</v>
      </c>
      <c r="I27">
        <v>277.150978564772</v>
      </c>
      <c r="J27">
        <f t="shared" si="1"/>
        <v>1.39217019950208</v>
      </c>
      <c r="L27">
        <v>1.07002252718582</v>
      </c>
      <c r="O27">
        <v>1191.97224306077</v>
      </c>
      <c r="P27">
        <f t="shared" si="2"/>
        <v>0.672610396898641</v>
      </c>
      <c r="R27">
        <v>1.79582463784714</v>
      </c>
      <c r="T27">
        <v>4</v>
      </c>
      <c r="U27">
        <v>10395.4801385211</v>
      </c>
      <c r="V27">
        <f t="shared" si="3"/>
        <v>0.131075467090471</v>
      </c>
      <c r="X27">
        <v>1.03895701393106</v>
      </c>
      <c r="AA27">
        <v>6535.55922884684</v>
      </c>
      <c r="AB27">
        <f t="shared" si="4"/>
        <v>0.51400382716433</v>
      </c>
      <c r="AD27">
        <v>1.55653003754043</v>
      </c>
      <c r="AF27">
        <v>3</v>
      </c>
      <c r="AG27">
        <v>910.770431588613</v>
      </c>
      <c r="AH27">
        <f t="shared" si="5"/>
        <v>2.82478429106462</v>
      </c>
      <c r="AJ27">
        <v>1.21157489700603</v>
      </c>
      <c r="AL27">
        <v>3</v>
      </c>
      <c r="AM27">
        <v>14447.6894904459</v>
      </c>
      <c r="AN27">
        <f t="shared" si="6"/>
        <v>0.147892788831188</v>
      </c>
      <c r="AP27">
        <v>1.23389454157693</v>
      </c>
    </row>
    <row r="28" spans="1:42">
      <c r="A28">
        <v>2</v>
      </c>
      <c r="C28">
        <v>1763.38776978417</v>
      </c>
      <c r="D28">
        <f t="shared" si="0"/>
        <v>0.825639495284402</v>
      </c>
      <c r="F28">
        <v>1.06938957065663</v>
      </c>
      <c r="I28">
        <v>276.143566815698</v>
      </c>
      <c r="J28">
        <f t="shared" si="1"/>
        <v>1.00364814491495</v>
      </c>
      <c r="L28">
        <v>1.06946277782312</v>
      </c>
      <c r="O28">
        <v>1041.12335526316</v>
      </c>
      <c r="P28">
        <f t="shared" si="2"/>
        <v>1.14489050412233</v>
      </c>
      <c r="R28">
        <v>1.77199430656249</v>
      </c>
      <c r="U28">
        <v>11858.5909291061</v>
      </c>
      <c r="V28">
        <f t="shared" si="3"/>
        <v>0.876620181998698</v>
      </c>
      <c r="X28">
        <v>1.02160452343051</v>
      </c>
      <c r="AA28">
        <v>4577.05430327869</v>
      </c>
      <c r="AB28">
        <f t="shared" si="4"/>
        <v>1.42789637085258</v>
      </c>
      <c r="AD28">
        <v>1.53907423568994</v>
      </c>
      <c r="AG28">
        <v>1138.61512717537</v>
      </c>
      <c r="AH28">
        <f t="shared" si="5"/>
        <v>0.799893141985576</v>
      </c>
      <c r="AJ28">
        <v>1.10502077750837</v>
      </c>
      <c r="AM28">
        <v>8202.83050847458</v>
      </c>
      <c r="AN28">
        <f t="shared" si="6"/>
        <v>1.76130537812766</v>
      </c>
      <c r="AP28">
        <v>1.20562902848619</v>
      </c>
    </row>
    <row r="29" spans="1:42">
      <c r="A29">
        <v>1</v>
      </c>
      <c r="C29">
        <v>5309.88606514316</v>
      </c>
      <c r="D29">
        <f t="shared" si="0"/>
        <v>0.332095217891766</v>
      </c>
      <c r="F29">
        <v>1.06837679150288</v>
      </c>
      <c r="I29">
        <v>307.088518738846</v>
      </c>
      <c r="J29">
        <f t="shared" si="1"/>
        <v>0.899231166146383</v>
      </c>
      <c r="L29">
        <v>1.06415245357768</v>
      </c>
      <c r="O29">
        <v>1111.61287414353</v>
      </c>
      <c r="P29">
        <f t="shared" si="2"/>
        <v>0.936588068994181</v>
      </c>
      <c r="R29">
        <v>1.72618430364466</v>
      </c>
      <c r="U29">
        <v>4425.67202572347</v>
      </c>
      <c r="V29">
        <f t="shared" si="3"/>
        <v>2.67950061825188</v>
      </c>
      <c r="X29">
        <v>1.00797313150934</v>
      </c>
      <c r="AA29">
        <v>2878.56306587574</v>
      </c>
      <c r="AB29">
        <f t="shared" si="4"/>
        <v>1.59004829789485</v>
      </c>
      <c r="AD29">
        <v>1.53471734190729</v>
      </c>
      <c r="AG29">
        <v>2291.12528216704</v>
      </c>
      <c r="AH29">
        <f t="shared" si="5"/>
        <v>0.496967641201367</v>
      </c>
      <c r="AJ29">
        <v>1.06904119864684</v>
      </c>
      <c r="AM29">
        <v>1322.13244514107</v>
      </c>
      <c r="AN29">
        <f t="shared" si="6"/>
        <v>6.20424265255766</v>
      </c>
      <c r="AP29">
        <v>1.19555937544436</v>
      </c>
    </row>
    <row r="30" spans="1:42">
      <c r="A30">
        <v>2</v>
      </c>
      <c r="C30">
        <v>4183.23043319985</v>
      </c>
      <c r="D30">
        <f t="shared" si="0"/>
        <v>1.26932669618238</v>
      </c>
      <c r="F30">
        <v>1.0608463569277</v>
      </c>
      <c r="I30">
        <v>323.845849802372</v>
      </c>
      <c r="J30">
        <f t="shared" si="1"/>
        <v>0.94825522366968</v>
      </c>
      <c r="L30">
        <v>1.0611516248083</v>
      </c>
      <c r="O30">
        <v>969.399048266485</v>
      </c>
      <c r="P30">
        <f t="shared" si="2"/>
        <v>1.14670307973931</v>
      </c>
      <c r="R30">
        <v>1.68451388793688</v>
      </c>
      <c r="U30">
        <v>5271.55382619974</v>
      </c>
      <c r="V30">
        <f t="shared" si="3"/>
        <v>0.839538430534045</v>
      </c>
      <c r="X30">
        <v>0.997963699345813</v>
      </c>
      <c r="AA30">
        <v>2322.1148018648</v>
      </c>
      <c r="AB30">
        <f t="shared" si="4"/>
        <v>1.23962995436921</v>
      </c>
      <c r="AD30">
        <v>1.52486232918106</v>
      </c>
      <c r="AG30">
        <v>1156.01197227473</v>
      </c>
      <c r="AH30">
        <f t="shared" si="5"/>
        <v>1.98192175956336</v>
      </c>
      <c r="AJ30">
        <v>1.0580789778116</v>
      </c>
      <c r="AM30">
        <v>1290.06439628483</v>
      </c>
      <c r="AN30">
        <f t="shared" si="6"/>
        <v>1.02485771171469</v>
      </c>
      <c r="AP30">
        <v>1.13032137726276</v>
      </c>
    </row>
    <row r="31" spans="1:42">
      <c r="A31">
        <v>1</v>
      </c>
      <c r="C31">
        <v>1118.79243051449</v>
      </c>
      <c r="D31">
        <f t="shared" si="0"/>
        <v>3.73905857700176</v>
      </c>
      <c r="F31">
        <v>1.05582271178476</v>
      </c>
      <c r="I31">
        <v>313.911577369801</v>
      </c>
      <c r="J31">
        <f t="shared" si="1"/>
        <v>1.03164672203494</v>
      </c>
      <c r="L31">
        <v>1.04978251315757</v>
      </c>
      <c r="O31">
        <v>1638.07349323493</v>
      </c>
      <c r="P31">
        <f t="shared" si="2"/>
        <v>0.591792158453208</v>
      </c>
      <c r="R31">
        <v>1.66823018760021</v>
      </c>
      <c r="U31">
        <v>2240.83691148776</v>
      </c>
      <c r="V31">
        <f t="shared" si="3"/>
        <v>2.35249330246876</v>
      </c>
      <c r="X31">
        <v>0.976495212814631</v>
      </c>
      <c r="Z31">
        <v>4</v>
      </c>
      <c r="AA31">
        <v>8382.10486942329</v>
      </c>
      <c r="AB31">
        <f t="shared" si="4"/>
        <v>0.277032420619735</v>
      </c>
      <c r="AD31">
        <v>1.51132753354935</v>
      </c>
      <c r="AG31">
        <v>631.036333213816</v>
      </c>
      <c r="AH31">
        <f t="shared" si="5"/>
        <v>1.83192616879484</v>
      </c>
      <c r="AJ31">
        <v>1.05485691689952</v>
      </c>
      <c r="AL31">
        <v>4</v>
      </c>
      <c r="AM31">
        <v>9947.07765938234</v>
      </c>
      <c r="AN31">
        <f t="shared" si="6"/>
        <v>0.129692804304992</v>
      </c>
      <c r="AP31">
        <v>1.12363088965251</v>
      </c>
    </row>
    <row r="32" spans="1:42">
      <c r="A32">
        <v>2</v>
      </c>
      <c r="C32">
        <v>1539.76919339164</v>
      </c>
      <c r="D32">
        <f t="shared" si="0"/>
        <v>0.726597489621242</v>
      </c>
      <c r="F32">
        <v>1.0425754650943</v>
      </c>
      <c r="I32">
        <v>293.522676879661</v>
      </c>
      <c r="J32">
        <f t="shared" si="1"/>
        <v>1.06946277782312</v>
      </c>
      <c r="L32">
        <v>1.04151544626065</v>
      </c>
      <c r="O32">
        <v>1775.35634588563</v>
      </c>
      <c r="P32">
        <f t="shared" si="2"/>
        <v>0.922673071820848</v>
      </c>
      <c r="R32">
        <v>1.66802435112059</v>
      </c>
      <c r="U32">
        <v>1579.30231065469</v>
      </c>
      <c r="V32">
        <f t="shared" si="3"/>
        <v>1.41887775150461</v>
      </c>
      <c r="X32">
        <v>0.956229031979285</v>
      </c>
      <c r="AA32">
        <v>4714.05721830986</v>
      </c>
      <c r="AB32">
        <f t="shared" si="4"/>
        <v>1.77810842788806</v>
      </c>
      <c r="AD32">
        <v>1.50251736808113</v>
      </c>
      <c r="AG32">
        <v>700.663245356794</v>
      </c>
      <c r="AH32">
        <f t="shared" si="5"/>
        <v>0.900627137780686</v>
      </c>
      <c r="AJ32">
        <v>1.03722900285787</v>
      </c>
      <c r="AM32">
        <v>8800.2207686018</v>
      </c>
      <c r="AN32">
        <f t="shared" si="6"/>
        <v>1.13032137726276</v>
      </c>
      <c r="AP32">
        <v>1.08527482817955</v>
      </c>
    </row>
    <row r="33" spans="1:42">
      <c r="A33">
        <v>1</v>
      </c>
      <c r="C33">
        <v>14182.9005489183</v>
      </c>
      <c r="D33">
        <f t="shared" si="0"/>
        <v>0.108565182987839</v>
      </c>
      <c r="F33">
        <v>1.04154551181306</v>
      </c>
      <c r="I33">
        <v>268.312461252325</v>
      </c>
      <c r="J33">
        <f t="shared" si="1"/>
        <v>1.09395842261544</v>
      </c>
      <c r="L33">
        <v>1.02881141149816</v>
      </c>
      <c r="N33">
        <v>3</v>
      </c>
      <c r="O33">
        <v>10428.2815311342</v>
      </c>
      <c r="P33">
        <f t="shared" si="2"/>
        <v>0.170244382124246</v>
      </c>
      <c r="R33">
        <v>1.61786438381687</v>
      </c>
      <c r="U33">
        <v>3536.94324782188</v>
      </c>
      <c r="V33">
        <f t="shared" si="3"/>
        <v>0.446516158162067</v>
      </c>
      <c r="X33">
        <v>0.939680496790564</v>
      </c>
      <c r="AA33">
        <v>2585.95744221214</v>
      </c>
      <c r="AB33">
        <f t="shared" si="4"/>
        <v>1.82294462443947</v>
      </c>
      <c r="AD33">
        <v>1.46192782612859</v>
      </c>
      <c r="AG33">
        <v>621.999370453274</v>
      </c>
      <c r="AH33">
        <f t="shared" si="5"/>
        <v>1.1264693802603</v>
      </c>
      <c r="AJ33">
        <v>1.01752881532493</v>
      </c>
      <c r="AM33">
        <v>1142.04670912951</v>
      </c>
      <c r="AN33">
        <f t="shared" si="6"/>
        <v>7.7056574816537</v>
      </c>
      <c r="AP33">
        <v>1.05497647221994</v>
      </c>
    </row>
    <row r="34" spans="1:42">
      <c r="A34">
        <v>2</v>
      </c>
      <c r="C34">
        <v>11030.3584211817</v>
      </c>
      <c r="D34">
        <f t="shared" si="0"/>
        <v>1.28580595546947</v>
      </c>
      <c r="F34">
        <v>1.01551318229678</v>
      </c>
      <c r="I34">
        <v>252.850257191846</v>
      </c>
      <c r="J34">
        <f t="shared" si="1"/>
        <v>1.0611516248083</v>
      </c>
      <c r="L34">
        <v>1.02863169550596</v>
      </c>
      <c r="O34">
        <v>4180.61482758621</v>
      </c>
      <c r="P34">
        <f t="shared" si="2"/>
        <v>2.49443729241023</v>
      </c>
      <c r="R34">
        <v>1.60559550776719</v>
      </c>
      <c r="U34">
        <v>2281.73824399868</v>
      </c>
      <c r="V34">
        <f t="shared" si="3"/>
        <v>1.55010911401629</v>
      </c>
      <c r="X34">
        <v>0.921677722458521</v>
      </c>
      <c r="AA34">
        <v>1680.20319114295</v>
      </c>
      <c r="AB34">
        <f t="shared" si="4"/>
        <v>1.53907423568994</v>
      </c>
      <c r="AD34">
        <v>1.45339964149921</v>
      </c>
      <c r="AG34">
        <v>587.857223796034</v>
      </c>
      <c r="AH34">
        <f t="shared" si="5"/>
        <v>1.0580789778116</v>
      </c>
      <c r="AJ34">
        <v>1.0055151561921</v>
      </c>
      <c r="AM34">
        <v>1082.5328708292</v>
      </c>
      <c r="AN34">
        <f t="shared" si="6"/>
        <v>1.05497647221994</v>
      </c>
      <c r="AP34">
        <v>1.04103370140163</v>
      </c>
    </row>
    <row r="35" spans="1:42">
      <c r="A35">
        <v>1</v>
      </c>
      <c r="B35">
        <v>4</v>
      </c>
      <c r="C35">
        <v>9608.11094701865</v>
      </c>
      <c r="D35">
        <f t="shared" si="0"/>
        <v>1.14802571306739</v>
      </c>
      <c r="F35">
        <v>0.991421631911705</v>
      </c>
      <c r="I35">
        <v>588.6265766566</v>
      </c>
      <c r="J35">
        <f t="shared" si="1"/>
        <v>0.429559702567349</v>
      </c>
      <c r="L35">
        <v>1.02067086190402</v>
      </c>
      <c r="O35">
        <v>29853.3316025961</v>
      </c>
      <c r="P35">
        <f t="shared" si="2"/>
        <v>0.140038468176284</v>
      </c>
      <c r="R35">
        <v>1.56531118198688</v>
      </c>
      <c r="U35">
        <v>2010.42021851363</v>
      </c>
      <c r="V35">
        <f t="shared" si="3"/>
        <v>1.13495587787395</v>
      </c>
      <c r="X35">
        <v>0.913303486434712</v>
      </c>
      <c r="Z35">
        <v>5</v>
      </c>
      <c r="AA35">
        <v>1887.63495297806</v>
      </c>
      <c r="AB35">
        <f t="shared" si="4"/>
        <v>0.890110234763426</v>
      </c>
      <c r="AD35">
        <v>1.4369669491726</v>
      </c>
      <c r="AF35">
        <v>4</v>
      </c>
      <c r="AG35">
        <v>2420.13764660394</v>
      </c>
      <c r="AH35">
        <f t="shared" si="5"/>
        <v>0.242902392192835</v>
      </c>
      <c r="AJ35">
        <v>0.992847377410422</v>
      </c>
      <c r="AM35">
        <v>565.743801652893</v>
      </c>
      <c r="AN35">
        <f t="shared" si="6"/>
        <v>1.91346837148978</v>
      </c>
      <c r="AP35">
        <v>1.03318523508669</v>
      </c>
    </row>
    <row r="36" spans="1:42">
      <c r="A36">
        <v>2</v>
      </c>
      <c r="C36">
        <v>6418.62662451704</v>
      </c>
      <c r="D36">
        <f t="shared" si="0"/>
        <v>1.49691071144703</v>
      </c>
      <c r="F36">
        <v>0.989918625903641</v>
      </c>
      <c r="I36">
        <v>540.432634730539</v>
      </c>
      <c r="J36">
        <f t="shared" si="1"/>
        <v>1.08917659450764</v>
      </c>
      <c r="L36">
        <v>1.00364814491495</v>
      </c>
      <c r="O36">
        <v>9656.50925390399</v>
      </c>
      <c r="P36">
        <f t="shared" si="2"/>
        <v>3.09152415408568</v>
      </c>
      <c r="R36">
        <v>1.55499537622583</v>
      </c>
      <c r="U36">
        <v>1655.16236811254</v>
      </c>
      <c r="V36">
        <f t="shared" si="3"/>
        <v>1.21463625396837</v>
      </c>
      <c r="X36">
        <v>0.902466661300645</v>
      </c>
      <c r="AA36">
        <v>2354.4825203252</v>
      </c>
      <c r="AB36">
        <f t="shared" si="4"/>
        <v>0.801719671597877</v>
      </c>
      <c r="AD36">
        <v>1.42789637085258</v>
      </c>
      <c r="AG36">
        <v>3073.87458589683</v>
      </c>
      <c r="AH36">
        <f t="shared" si="5"/>
        <v>0.787324784722095</v>
      </c>
      <c r="AJ36">
        <v>0.939191514948234</v>
      </c>
      <c r="AM36">
        <v>557.728208647907</v>
      </c>
      <c r="AN36">
        <f t="shared" si="6"/>
        <v>1.01437186228112</v>
      </c>
      <c r="AP36">
        <v>1.02485771171469</v>
      </c>
    </row>
    <row r="37" spans="1:42">
      <c r="A37">
        <v>1</v>
      </c>
      <c r="C37">
        <v>4727.09328914664</v>
      </c>
      <c r="D37">
        <f t="shared" si="0"/>
        <v>1.3578379422412</v>
      </c>
      <c r="F37">
        <v>0.987883016080632</v>
      </c>
      <c r="H37">
        <v>5</v>
      </c>
      <c r="I37">
        <v>6372.10095710741</v>
      </c>
      <c r="J37">
        <f t="shared" si="1"/>
        <v>0.084812315179618</v>
      </c>
      <c r="L37">
        <v>1.00110055000426</v>
      </c>
      <c r="O37">
        <v>10675.430221952</v>
      </c>
      <c r="P37">
        <f t="shared" si="2"/>
        <v>0.904554575613</v>
      </c>
      <c r="R37">
        <v>1.5403566859033</v>
      </c>
      <c r="T37">
        <v>5</v>
      </c>
      <c r="U37">
        <v>853.927611940299</v>
      </c>
      <c r="V37">
        <f t="shared" si="3"/>
        <v>1.93829353327933</v>
      </c>
      <c r="X37">
        <v>0.876620181998698</v>
      </c>
      <c r="AA37">
        <v>8962.73372450405</v>
      </c>
      <c r="AB37">
        <f t="shared" si="4"/>
        <v>0.262696917335395</v>
      </c>
      <c r="AD37">
        <v>1.40347896109276</v>
      </c>
      <c r="AG37">
        <v>830.313336482444</v>
      </c>
      <c r="AH37">
        <f t="shared" si="5"/>
        <v>3.70206577545659</v>
      </c>
      <c r="AJ37">
        <v>0.924154626596898</v>
      </c>
      <c r="AL37">
        <v>5</v>
      </c>
      <c r="AM37">
        <v>4652.0602944142</v>
      </c>
      <c r="AN37">
        <f t="shared" si="6"/>
        <v>0.119888430792176</v>
      </c>
      <c r="AP37">
        <v>1.01564463088623</v>
      </c>
    </row>
    <row r="38" spans="1:42">
      <c r="A38">
        <v>2</v>
      </c>
      <c r="C38">
        <v>3011.05752508361</v>
      </c>
      <c r="D38">
        <f t="shared" si="0"/>
        <v>1.56991131845459</v>
      </c>
      <c r="F38">
        <v>0.977889978780753</v>
      </c>
      <c r="I38">
        <v>4439.69573596724</v>
      </c>
      <c r="J38">
        <f t="shared" si="1"/>
        <v>1.43525622836836</v>
      </c>
      <c r="L38">
        <v>0.997323432773152</v>
      </c>
      <c r="O38">
        <v>7498.44996426019</v>
      </c>
      <c r="P38">
        <f t="shared" si="2"/>
        <v>1.42368493126369</v>
      </c>
      <c r="R38">
        <v>1.53962409224374</v>
      </c>
      <c r="U38">
        <v>1150.95139911635</v>
      </c>
      <c r="V38">
        <f t="shared" si="3"/>
        <v>0.741931946558219</v>
      </c>
      <c r="X38">
        <v>0.839538430534045</v>
      </c>
      <c r="AA38">
        <v>5580.19537177542</v>
      </c>
      <c r="AB38">
        <f t="shared" si="4"/>
        <v>1.60616844525507</v>
      </c>
      <c r="AD38">
        <v>1.40284454488204</v>
      </c>
      <c r="AG38">
        <v>547.499743326489</v>
      </c>
      <c r="AH38">
        <f t="shared" si="5"/>
        <v>1.51655475021347</v>
      </c>
      <c r="AJ38">
        <v>0.918713944544084</v>
      </c>
      <c r="AM38">
        <v>6466.0019875071</v>
      </c>
      <c r="AN38">
        <f t="shared" si="6"/>
        <v>0.719464717672899</v>
      </c>
      <c r="AP38">
        <v>1.01437186228112</v>
      </c>
    </row>
    <row r="39" spans="1:42">
      <c r="A39">
        <v>1</v>
      </c>
      <c r="C39">
        <v>2688.70723684211</v>
      </c>
      <c r="D39">
        <f t="shared" si="0"/>
        <v>1.11989043798614</v>
      </c>
      <c r="F39">
        <v>0.976608631066988</v>
      </c>
      <c r="I39">
        <v>481.998721772476</v>
      </c>
      <c r="J39">
        <f t="shared" si="1"/>
        <v>9.21101143098667</v>
      </c>
      <c r="L39">
        <v>0.996943920154125</v>
      </c>
      <c r="O39">
        <v>2535.83032424466</v>
      </c>
      <c r="P39">
        <f t="shared" si="2"/>
        <v>2.95699987990866</v>
      </c>
      <c r="R39">
        <v>1.52626358091858</v>
      </c>
      <c r="U39">
        <v>46555.5715585203</v>
      </c>
      <c r="V39">
        <f t="shared" si="3"/>
        <v>0.0247220979269819</v>
      </c>
      <c r="X39">
        <v>0.818677720927178</v>
      </c>
      <c r="AA39">
        <v>8374.4656784895</v>
      </c>
      <c r="AB39">
        <f t="shared" si="4"/>
        <v>0.66633449655285</v>
      </c>
      <c r="AD39">
        <v>1.39745167253752</v>
      </c>
      <c r="AG39">
        <v>3608.02416721097</v>
      </c>
      <c r="AH39">
        <f t="shared" si="5"/>
        <v>0.15174503217081</v>
      </c>
      <c r="AJ39">
        <v>0.912595964389432</v>
      </c>
      <c r="AM39">
        <v>8043.88790983607</v>
      </c>
      <c r="AN39">
        <f t="shared" si="6"/>
        <v>0.803840389123333</v>
      </c>
      <c r="AP39">
        <v>0.995718026491977</v>
      </c>
    </row>
    <row r="40" spans="1:42">
      <c r="A40">
        <v>2</v>
      </c>
      <c r="C40">
        <v>2959.7854179016</v>
      </c>
      <c r="D40">
        <f t="shared" si="0"/>
        <v>0.908412893914561</v>
      </c>
      <c r="F40">
        <v>0.968702892619119</v>
      </c>
      <c r="I40">
        <v>618.734902620149</v>
      </c>
      <c r="J40">
        <f t="shared" si="1"/>
        <v>0.779006840783285</v>
      </c>
      <c r="L40">
        <v>0.988734291053228</v>
      </c>
      <c r="O40">
        <v>2849.34846856529</v>
      </c>
      <c r="P40">
        <f t="shared" si="2"/>
        <v>0.88996847953859</v>
      </c>
      <c r="R40">
        <v>1.50008650252353</v>
      </c>
      <c r="U40">
        <v>17939.8162055336</v>
      </c>
      <c r="V40">
        <f t="shared" si="3"/>
        <v>2.5950974650543</v>
      </c>
      <c r="X40">
        <v>0.81677679827419</v>
      </c>
      <c r="AA40">
        <v>5332.06928364689</v>
      </c>
      <c r="AB40">
        <f t="shared" si="4"/>
        <v>1.57058455788889</v>
      </c>
      <c r="AD40">
        <v>1.39724131148822</v>
      </c>
      <c r="AG40">
        <v>2788.82007575758</v>
      </c>
      <c r="AH40">
        <f t="shared" si="5"/>
        <v>1.29374576674003</v>
      </c>
      <c r="AJ40">
        <v>0.900627137780686</v>
      </c>
      <c r="AM40">
        <v>5362.37993527508</v>
      </c>
      <c r="AN40">
        <f t="shared" si="6"/>
        <v>1.50005930331817</v>
      </c>
      <c r="AP40">
        <v>0.954814807620911</v>
      </c>
    </row>
    <row r="41" spans="1:42">
      <c r="A41">
        <v>1</v>
      </c>
      <c r="C41">
        <v>5777.49339014531</v>
      </c>
      <c r="D41">
        <f t="shared" si="0"/>
        <v>0.512295768775801</v>
      </c>
      <c r="F41">
        <v>0.943807151015025</v>
      </c>
      <c r="I41">
        <v>12976.7014816835</v>
      </c>
      <c r="J41">
        <f t="shared" si="1"/>
        <v>0.0476804451033637</v>
      </c>
      <c r="L41">
        <v>0.978953809154317</v>
      </c>
      <c r="O41">
        <v>1083.79192095321</v>
      </c>
      <c r="P41">
        <f t="shared" si="2"/>
        <v>2.62905490756865</v>
      </c>
      <c r="R41">
        <v>1.49672993149399</v>
      </c>
      <c r="T41">
        <v>6</v>
      </c>
      <c r="U41">
        <v>639.189112903226</v>
      </c>
      <c r="V41">
        <f t="shared" si="3"/>
        <v>28.0665234175378</v>
      </c>
      <c r="X41">
        <v>0.741931946558219</v>
      </c>
      <c r="AA41">
        <v>1561.89571899012</v>
      </c>
      <c r="AB41">
        <f t="shared" si="4"/>
        <v>3.41384461127434</v>
      </c>
      <c r="AD41">
        <v>1.34858550384153</v>
      </c>
      <c r="AG41">
        <v>9210.15190227527</v>
      </c>
      <c r="AH41">
        <f t="shared" si="5"/>
        <v>0.302798488596983</v>
      </c>
      <c r="AJ41">
        <v>0.899587822413232</v>
      </c>
      <c r="AM41">
        <v>793.30901518205</v>
      </c>
      <c r="AN41">
        <f t="shared" si="6"/>
        <v>6.75950963956273</v>
      </c>
      <c r="AP41">
        <v>0.940667941212879</v>
      </c>
    </row>
    <row r="42" spans="1:42">
      <c r="A42">
        <v>2</v>
      </c>
      <c r="C42">
        <v>2592.96890491212</v>
      </c>
      <c r="D42">
        <f t="shared" si="0"/>
        <v>2.22813832406568</v>
      </c>
      <c r="F42">
        <v>0.931118927419138</v>
      </c>
      <c r="I42">
        <v>9411.43825975688</v>
      </c>
      <c r="J42">
        <f t="shared" si="1"/>
        <v>1.37882235674558</v>
      </c>
      <c r="L42">
        <v>0.976344896158372</v>
      </c>
      <c r="O42">
        <v>855.375515818432</v>
      </c>
      <c r="P42">
        <f t="shared" si="2"/>
        <v>1.26703640788248</v>
      </c>
      <c r="R42">
        <v>1.48508534364956</v>
      </c>
      <c r="U42">
        <v>654.574753173484</v>
      </c>
      <c r="V42">
        <f t="shared" si="3"/>
        <v>0.976495212814631</v>
      </c>
      <c r="X42">
        <v>0.707162017565243</v>
      </c>
      <c r="AA42">
        <v>1117.67422779923</v>
      </c>
      <c r="AB42">
        <f t="shared" si="4"/>
        <v>1.39745167253752</v>
      </c>
      <c r="AD42">
        <v>1.34825668144941</v>
      </c>
      <c r="AG42">
        <v>9051.49000555247</v>
      </c>
      <c r="AH42">
        <f t="shared" si="5"/>
        <v>1.01752881532493</v>
      </c>
      <c r="AJ42">
        <v>0.890996370657598</v>
      </c>
      <c r="AM42">
        <v>589.65843984134</v>
      </c>
      <c r="AN42">
        <f t="shared" si="6"/>
        <v>1.345370406969</v>
      </c>
      <c r="AP42">
        <v>0.919875156585137</v>
      </c>
    </row>
    <row r="43" spans="1:42">
      <c r="A43">
        <v>1</v>
      </c>
      <c r="B43">
        <v>5</v>
      </c>
      <c r="C43">
        <v>13019.6928320141</v>
      </c>
      <c r="D43">
        <f t="shared" si="0"/>
        <v>0.19915745619868</v>
      </c>
      <c r="F43">
        <v>0.918316636955175</v>
      </c>
      <c r="H43">
        <v>6</v>
      </c>
      <c r="I43">
        <v>1600.72177201513</v>
      </c>
      <c r="J43">
        <f t="shared" si="1"/>
        <v>5.87949662726767</v>
      </c>
      <c r="L43">
        <v>0.970021098747572</v>
      </c>
      <c r="N43">
        <v>4</v>
      </c>
      <c r="O43">
        <v>11488.0475482912</v>
      </c>
      <c r="P43">
        <f t="shared" si="2"/>
        <v>0.0744578669458646</v>
      </c>
      <c r="R43">
        <v>1.47823200350536</v>
      </c>
      <c r="U43">
        <v>624.542547540635</v>
      </c>
      <c r="V43">
        <f t="shared" si="3"/>
        <v>1.04808672483742</v>
      </c>
      <c r="X43">
        <v>0.6666896229263</v>
      </c>
      <c r="AA43">
        <v>27008.9743347801</v>
      </c>
      <c r="AB43">
        <f t="shared" si="4"/>
        <v>0.0413815872437619</v>
      </c>
      <c r="AD43">
        <v>1.29746471245578</v>
      </c>
      <c r="AF43">
        <v>5</v>
      </c>
      <c r="AG43">
        <v>1285.2366142428</v>
      </c>
      <c r="AH43">
        <f t="shared" si="5"/>
        <v>7.04266428861831</v>
      </c>
      <c r="AJ43">
        <v>0.799893141985576</v>
      </c>
      <c r="AM43">
        <v>1726.36058027619</v>
      </c>
      <c r="AN43">
        <f t="shared" si="6"/>
        <v>0.341561575593324</v>
      </c>
      <c r="AP43">
        <v>0.916903775487885</v>
      </c>
    </row>
    <row r="44" spans="1:42">
      <c r="A44">
        <v>2</v>
      </c>
      <c r="C44">
        <v>12186.4242424242</v>
      </c>
      <c r="D44">
        <f t="shared" si="0"/>
        <v>1.06837679150288</v>
      </c>
      <c r="F44">
        <v>0.908412893914561</v>
      </c>
      <c r="I44">
        <v>1014.61424782114</v>
      </c>
      <c r="J44">
        <f t="shared" si="1"/>
        <v>1.57766537918489</v>
      </c>
      <c r="L44">
        <v>0.966039776642455</v>
      </c>
      <c r="O44">
        <v>4632.12103807701</v>
      </c>
      <c r="P44">
        <f t="shared" si="2"/>
        <v>2.48008362775002</v>
      </c>
      <c r="R44">
        <v>1.44566716208657</v>
      </c>
      <c r="U44">
        <v>508.371532514779</v>
      </c>
      <c r="V44">
        <f t="shared" si="3"/>
        <v>1.22851597226774</v>
      </c>
      <c r="X44">
        <v>0.643630518233986</v>
      </c>
      <c r="AA44">
        <v>12773.9986263736</v>
      </c>
      <c r="AB44">
        <f t="shared" si="4"/>
        <v>2.11437116323283</v>
      </c>
      <c r="AD44">
        <v>1.2963356684613</v>
      </c>
      <c r="AG44">
        <v>1408.33037225042</v>
      </c>
      <c r="AH44">
        <f t="shared" si="5"/>
        <v>0.912595964389432</v>
      </c>
      <c r="AJ44">
        <v>0.787324784722095</v>
      </c>
      <c r="AM44">
        <v>1893.52710342534</v>
      </c>
      <c r="AN44">
        <f t="shared" si="6"/>
        <v>0.911716857473679</v>
      </c>
      <c r="AP44">
        <v>0.911716857473679</v>
      </c>
    </row>
    <row r="45" spans="1:42">
      <c r="A45">
        <v>1</v>
      </c>
      <c r="C45">
        <v>2293.30774836046</v>
      </c>
      <c r="D45">
        <f t="shared" si="0"/>
        <v>5.31390706333965</v>
      </c>
      <c r="F45">
        <v>0.892244503429639</v>
      </c>
      <c r="I45">
        <v>5328.7581152774</v>
      </c>
      <c r="J45">
        <f t="shared" si="1"/>
        <v>0.190403509761922</v>
      </c>
      <c r="L45">
        <v>0.954868022093884</v>
      </c>
      <c r="O45">
        <v>1521.65683463062</v>
      </c>
      <c r="P45">
        <f t="shared" si="2"/>
        <v>3.04412988044144</v>
      </c>
      <c r="R45">
        <v>1.44100475995329</v>
      </c>
      <c r="U45">
        <v>883.674485745218</v>
      </c>
      <c r="V45">
        <f t="shared" si="3"/>
        <v>0.575292758493599</v>
      </c>
      <c r="X45">
        <v>0.474204395010822</v>
      </c>
      <c r="Z45">
        <v>6</v>
      </c>
      <c r="AA45">
        <v>38361.5449974862</v>
      </c>
      <c r="AB45">
        <f t="shared" si="4"/>
        <v>0.332989680869492</v>
      </c>
      <c r="AD45">
        <v>1.28907432381307</v>
      </c>
      <c r="AG45">
        <v>5188.23466707863</v>
      </c>
      <c r="AH45">
        <f t="shared" si="5"/>
        <v>0.271446929952268</v>
      </c>
      <c r="AJ45">
        <v>0.784094208319446</v>
      </c>
      <c r="AL45">
        <v>6</v>
      </c>
      <c r="AM45">
        <v>1900.21703056769</v>
      </c>
      <c r="AN45">
        <f t="shared" si="6"/>
        <v>0.996479387862158</v>
      </c>
      <c r="AP45">
        <v>0.843528241931712</v>
      </c>
    </row>
    <row r="46" spans="1:42">
      <c r="A46">
        <v>2</v>
      </c>
      <c r="C46">
        <v>1801.85027322404</v>
      </c>
      <c r="D46">
        <f t="shared" si="0"/>
        <v>1.27275156123658</v>
      </c>
      <c r="F46">
        <v>0.889120936959368</v>
      </c>
      <c r="I46">
        <v>5637.75155472637</v>
      </c>
      <c r="J46">
        <f t="shared" si="1"/>
        <v>0.945192079422172</v>
      </c>
      <c r="L46">
        <v>0.952019264521336</v>
      </c>
      <c r="O46">
        <v>838.719860854441</v>
      </c>
      <c r="P46">
        <f t="shared" si="2"/>
        <v>1.81426112060878</v>
      </c>
      <c r="R46">
        <v>1.42368493126369</v>
      </c>
      <c r="U46">
        <v>626.766362252664</v>
      </c>
      <c r="V46">
        <f t="shared" si="3"/>
        <v>1.40989456193724</v>
      </c>
      <c r="AA46">
        <v>21848.5423250564</v>
      </c>
      <c r="AB46">
        <f t="shared" si="4"/>
        <v>1.75579425056162</v>
      </c>
      <c r="AD46">
        <v>1.27564808805745</v>
      </c>
      <c r="AG46">
        <v>1743.29450649647</v>
      </c>
      <c r="AH46">
        <f t="shared" si="5"/>
        <v>2.97610911280018</v>
      </c>
      <c r="AJ46">
        <v>0.770979026988789</v>
      </c>
      <c r="AM46">
        <v>2253.2726054923</v>
      </c>
      <c r="AN46">
        <f t="shared" si="6"/>
        <v>0.843314309123519</v>
      </c>
      <c r="AP46">
        <v>0.843314309123519</v>
      </c>
    </row>
    <row r="47" spans="1:42">
      <c r="A47">
        <v>1</v>
      </c>
      <c r="C47">
        <v>14752.953995498</v>
      </c>
      <c r="D47">
        <f t="shared" si="0"/>
        <v>0.122134880497417</v>
      </c>
      <c r="F47">
        <v>0.885215443181951</v>
      </c>
      <c r="I47">
        <v>5763.7670137317</v>
      </c>
      <c r="J47">
        <f t="shared" si="1"/>
        <v>0.978136614699187</v>
      </c>
      <c r="L47">
        <v>0.94825522366968</v>
      </c>
      <c r="O47">
        <v>2792.80315955766</v>
      </c>
      <c r="P47">
        <f t="shared" si="2"/>
        <v>0.30031470638528</v>
      </c>
      <c r="R47">
        <v>1.3882173524768</v>
      </c>
      <c r="U47">
        <v>1205.65335728102</v>
      </c>
      <c r="V47">
        <f t="shared" si="3"/>
        <v>0.519856191224103</v>
      </c>
      <c r="AA47">
        <v>17263.8692607004</v>
      </c>
      <c r="AB47">
        <f t="shared" si="4"/>
        <v>1.26556463068175</v>
      </c>
      <c r="AD47">
        <v>1.26254392482659</v>
      </c>
      <c r="AG47">
        <v>2846.8600660066</v>
      </c>
      <c r="AH47">
        <f t="shared" si="5"/>
        <v>0.612356935738628</v>
      </c>
      <c r="AJ47">
        <v>0.703168989949643</v>
      </c>
      <c r="AM47">
        <v>8888.84206748026</v>
      </c>
      <c r="AN47">
        <f t="shared" si="6"/>
        <v>0.253494503376978</v>
      </c>
      <c r="AP47">
        <v>0.837593252102151</v>
      </c>
    </row>
    <row r="48" spans="1:42">
      <c r="A48">
        <v>2</v>
      </c>
      <c r="C48">
        <v>12092.0685602351</v>
      </c>
      <c r="D48">
        <f t="shared" si="0"/>
        <v>1.22005212937787</v>
      </c>
      <c r="F48">
        <v>0.870466431044077</v>
      </c>
      <c r="I48">
        <v>7131.89638698119</v>
      </c>
      <c r="J48">
        <f t="shared" si="1"/>
        <v>0.808167519687061</v>
      </c>
      <c r="L48">
        <v>0.945192079422172</v>
      </c>
      <c r="O48">
        <v>1674.11139081183</v>
      </c>
      <c r="P48">
        <f t="shared" si="2"/>
        <v>1.66823018760021</v>
      </c>
      <c r="R48">
        <v>1.27130317365549</v>
      </c>
      <c r="U48">
        <v>978.6644695543</v>
      </c>
      <c r="V48">
        <f t="shared" si="3"/>
        <v>1.23193739508097</v>
      </c>
      <c r="AA48">
        <v>9674.12595744681</v>
      </c>
      <c r="AB48">
        <f t="shared" si="4"/>
        <v>1.78454046770099</v>
      </c>
      <c r="AD48">
        <v>1.23962995436921</v>
      </c>
      <c r="AG48">
        <v>1294.36625766871</v>
      </c>
      <c r="AH48">
        <f t="shared" si="5"/>
        <v>2.19942388728063</v>
      </c>
      <c r="AJ48">
        <v>0.683619587906548</v>
      </c>
      <c r="AM48">
        <v>8538.47676161919</v>
      </c>
      <c r="AN48">
        <f t="shared" si="6"/>
        <v>1.04103370140163</v>
      </c>
      <c r="AP48">
        <v>0.834386147491495</v>
      </c>
    </row>
    <row r="49" spans="1:42">
      <c r="A49">
        <v>1</v>
      </c>
      <c r="C49">
        <v>6666.10940543018</v>
      </c>
      <c r="D49">
        <f t="shared" si="0"/>
        <v>1.81396191163394</v>
      </c>
      <c r="F49">
        <v>0.867869540902875</v>
      </c>
      <c r="I49">
        <v>299.857973758961</v>
      </c>
      <c r="J49">
        <f t="shared" si="1"/>
        <v>23.7842479143614</v>
      </c>
      <c r="L49">
        <v>0.934999449436974</v>
      </c>
      <c r="O49">
        <v>1668.61483253589</v>
      </c>
      <c r="P49">
        <f t="shared" si="2"/>
        <v>1.00329408451175</v>
      </c>
      <c r="R49">
        <v>1.26703640788248</v>
      </c>
      <c r="U49">
        <v>1811.67747018963</v>
      </c>
      <c r="V49">
        <f t="shared" si="3"/>
        <v>0.540197957781007</v>
      </c>
      <c r="AA49">
        <v>3128.19555555556</v>
      </c>
      <c r="AB49">
        <f t="shared" si="4"/>
        <v>3.092557925372</v>
      </c>
      <c r="AD49">
        <v>1.20342181251834</v>
      </c>
      <c r="AF49">
        <v>6</v>
      </c>
      <c r="AG49">
        <v>8616.85534297713</v>
      </c>
      <c r="AH49">
        <f t="shared" si="5"/>
        <v>0.150213297792406</v>
      </c>
      <c r="AJ49">
        <v>0.649982450589165</v>
      </c>
      <c r="AM49">
        <v>45754.9184837987</v>
      </c>
      <c r="AN49">
        <f t="shared" si="6"/>
        <v>0.186613309444373</v>
      </c>
      <c r="AP49">
        <v>0.822095825793037</v>
      </c>
    </row>
    <row r="50" spans="1:42">
      <c r="A50">
        <v>2</v>
      </c>
      <c r="C50">
        <v>3646.12457912458</v>
      </c>
      <c r="D50">
        <f t="shared" si="0"/>
        <v>1.8282725290288</v>
      </c>
      <c r="F50">
        <v>0.856524620466493</v>
      </c>
      <c r="I50">
        <v>287.905450500556</v>
      </c>
      <c r="J50">
        <f t="shared" si="1"/>
        <v>1.04151544626065</v>
      </c>
      <c r="L50">
        <v>0.931358603581481</v>
      </c>
      <c r="O50">
        <v>1093.26780341023</v>
      </c>
      <c r="P50">
        <f t="shared" si="2"/>
        <v>1.52626358091858</v>
      </c>
      <c r="R50">
        <v>1.2486415336281</v>
      </c>
      <c r="U50">
        <v>1965.63009612198</v>
      </c>
      <c r="V50">
        <f t="shared" si="3"/>
        <v>0.921677722458521</v>
      </c>
      <c r="AA50">
        <v>2038.28774858826</v>
      </c>
      <c r="AB50">
        <f t="shared" si="4"/>
        <v>1.53471734190729</v>
      </c>
      <c r="AD50">
        <v>1.20181746158254</v>
      </c>
      <c r="AG50">
        <v>8569.59270072993</v>
      </c>
      <c r="AH50">
        <f t="shared" si="5"/>
        <v>1.0055151561921</v>
      </c>
      <c r="AJ50">
        <v>0.647183179170095</v>
      </c>
      <c r="AM50">
        <v>36340.6143552311</v>
      </c>
      <c r="AN50">
        <f t="shared" si="6"/>
        <v>1.25905737411433</v>
      </c>
      <c r="AP50">
        <v>0.815736672324993</v>
      </c>
    </row>
    <row r="51" spans="1:42">
      <c r="A51">
        <v>1</v>
      </c>
      <c r="C51">
        <v>3712.13423283169</v>
      </c>
      <c r="D51">
        <f t="shared" si="0"/>
        <v>0.982217869945733</v>
      </c>
      <c r="F51">
        <v>0.856297478604493</v>
      </c>
      <c r="H51">
        <v>7</v>
      </c>
      <c r="I51">
        <v>1042.63275391956</v>
      </c>
      <c r="J51">
        <f t="shared" si="1"/>
        <v>0.27613313452722</v>
      </c>
      <c r="L51">
        <v>0.928513263075546</v>
      </c>
      <c r="O51">
        <v>1233.79501169135</v>
      </c>
      <c r="P51">
        <f t="shared" si="2"/>
        <v>0.886101656312844</v>
      </c>
      <c r="R51">
        <v>1.24631065028979</v>
      </c>
      <c r="T51">
        <v>7</v>
      </c>
      <c r="U51">
        <v>3170.37894375857</v>
      </c>
      <c r="V51">
        <f t="shared" si="3"/>
        <v>0.619998470527208</v>
      </c>
      <c r="AA51">
        <v>22707.5862222222</v>
      </c>
      <c r="AB51">
        <f t="shared" si="4"/>
        <v>0.0897624136991514</v>
      </c>
      <c r="AD51">
        <v>1.13499127289793</v>
      </c>
      <c r="AG51">
        <v>5267.68843796238</v>
      </c>
      <c r="AH51">
        <f t="shared" si="5"/>
        <v>1.62682223932833</v>
      </c>
      <c r="AJ51">
        <v>0.64299758759396</v>
      </c>
      <c r="AL51">
        <v>7</v>
      </c>
      <c r="AM51">
        <v>32391.76649013</v>
      </c>
      <c r="AN51">
        <f t="shared" si="6"/>
        <v>1.12190900012521</v>
      </c>
      <c r="AP51">
        <v>0.766317769263775</v>
      </c>
    </row>
    <row r="52" spans="1:42">
      <c r="A52">
        <v>2</v>
      </c>
      <c r="C52">
        <v>3418.75787948315</v>
      </c>
      <c r="D52">
        <f t="shared" si="0"/>
        <v>1.08581372641484</v>
      </c>
      <c r="F52">
        <v>0.851847552466261</v>
      </c>
      <c r="I52">
        <v>1115.11590145577</v>
      </c>
      <c r="J52">
        <f t="shared" si="1"/>
        <v>0.934999449436974</v>
      </c>
      <c r="L52">
        <v>0.906160196774203</v>
      </c>
      <c r="O52">
        <v>856.204674668351</v>
      </c>
      <c r="P52">
        <f t="shared" si="2"/>
        <v>1.44100475995329</v>
      </c>
      <c r="R52">
        <v>1.24198583075601</v>
      </c>
      <c r="U52">
        <v>2635.28605523355</v>
      </c>
      <c r="V52">
        <f t="shared" si="3"/>
        <v>1.20304926194344</v>
      </c>
      <c r="AA52">
        <v>7121.44759605713</v>
      </c>
      <c r="AB52">
        <f t="shared" si="4"/>
        <v>3.18861943669915</v>
      </c>
      <c r="AD52">
        <v>1.10617688974341</v>
      </c>
      <c r="AG52">
        <v>2366.20321811681</v>
      </c>
      <c r="AH52">
        <f t="shared" si="5"/>
        <v>2.22621979280156</v>
      </c>
      <c r="AJ52">
        <v>0.617584955404411</v>
      </c>
      <c r="AM52">
        <v>25349.6116896918</v>
      </c>
      <c r="AN52">
        <f t="shared" si="6"/>
        <v>1.27780128889713</v>
      </c>
      <c r="AP52">
        <v>0.747511882831451</v>
      </c>
    </row>
    <row r="53" spans="1:42">
      <c r="A53">
        <v>1</v>
      </c>
      <c r="B53">
        <v>6</v>
      </c>
      <c r="C53">
        <v>6690.6415781968</v>
      </c>
      <c r="D53">
        <f t="shared" si="0"/>
        <v>0.510976090936341</v>
      </c>
      <c r="F53">
        <v>0.850449098603234</v>
      </c>
      <c r="I53">
        <v>2470.72058287796</v>
      </c>
      <c r="J53">
        <f t="shared" si="1"/>
        <v>0.451332258768352</v>
      </c>
      <c r="L53">
        <v>0.893444195176148</v>
      </c>
      <c r="O53">
        <v>1392.58122013965</v>
      </c>
      <c r="P53">
        <f t="shared" si="2"/>
        <v>0.614832845859066</v>
      </c>
      <c r="R53">
        <v>1.23885097604585</v>
      </c>
      <c r="U53">
        <v>1092.51197771588</v>
      </c>
      <c r="V53">
        <f t="shared" si="3"/>
        <v>2.41213470331296</v>
      </c>
      <c r="AA53">
        <v>6533.30006758279</v>
      </c>
      <c r="AB53">
        <f t="shared" si="4"/>
        <v>1.09002303925892</v>
      </c>
      <c r="AD53">
        <v>1.09076836065677</v>
      </c>
      <c r="AG53">
        <v>2548.83077242525</v>
      </c>
      <c r="AH53">
        <f t="shared" si="5"/>
        <v>0.928348497560445</v>
      </c>
      <c r="AJ53">
        <v>0.57896405898364</v>
      </c>
      <c r="AL53">
        <v>8</v>
      </c>
      <c r="AM53">
        <v>2320.16861538462</v>
      </c>
      <c r="AN53">
        <f t="shared" si="6"/>
        <v>10.925762688799</v>
      </c>
      <c r="AP53">
        <v>0.719464717672899</v>
      </c>
    </row>
    <row r="54" spans="1:42">
      <c r="A54">
        <v>2</v>
      </c>
      <c r="C54">
        <v>6336.89870801034</v>
      </c>
      <c r="D54">
        <f t="shared" si="0"/>
        <v>1.05582271178476</v>
      </c>
      <c r="F54">
        <v>0.838516243886905</v>
      </c>
      <c r="I54">
        <v>1271.01521266687</v>
      </c>
      <c r="J54">
        <f t="shared" si="1"/>
        <v>1.9438953666761</v>
      </c>
      <c r="L54">
        <v>0.888678467800221</v>
      </c>
      <c r="O54">
        <v>1095.39663629993</v>
      </c>
      <c r="P54">
        <f t="shared" si="2"/>
        <v>1.27130317365549</v>
      </c>
      <c r="R54">
        <v>1.2356296442394</v>
      </c>
      <c r="U54">
        <v>1069.40792905582</v>
      </c>
      <c r="V54">
        <f t="shared" si="3"/>
        <v>1.02160452343051</v>
      </c>
      <c r="AA54">
        <v>3761.09295673936</v>
      </c>
      <c r="AB54">
        <f t="shared" si="4"/>
        <v>1.73707487231232</v>
      </c>
      <c r="AD54">
        <v>1.0154658115355</v>
      </c>
      <c r="AG54">
        <v>1596.21092564492</v>
      </c>
      <c r="AH54">
        <f t="shared" si="5"/>
        <v>1.59680073070258</v>
      </c>
      <c r="AJ54">
        <v>0.568733880848121</v>
      </c>
      <c r="AM54">
        <v>3103.8551609323</v>
      </c>
      <c r="AN54">
        <f t="shared" si="6"/>
        <v>0.747511882831451</v>
      </c>
      <c r="AP54">
        <v>0.618545745175158</v>
      </c>
    </row>
    <row r="55" spans="1:42">
      <c r="A55">
        <v>1</v>
      </c>
      <c r="C55">
        <v>1040.30517503805</v>
      </c>
      <c r="D55">
        <f t="shared" si="0"/>
        <v>6.09138439379441</v>
      </c>
      <c r="F55">
        <v>0.826675672460004</v>
      </c>
      <c r="I55">
        <v>401.772289929442</v>
      </c>
      <c r="J55">
        <f t="shared" si="1"/>
        <v>3.16352133913984</v>
      </c>
      <c r="L55">
        <v>0.866099825303296</v>
      </c>
      <c r="O55">
        <v>2185.49975868726</v>
      </c>
      <c r="P55">
        <f t="shared" si="2"/>
        <v>0.501211053419603</v>
      </c>
      <c r="R55">
        <v>1.22881670478137</v>
      </c>
      <c r="T55">
        <v>8</v>
      </c>
      <c r="U55">
        <v>15093.125667769</v>
      </c>
      <c r="V55">
        <f t="shared" si="3"/>
        <v>0.0708539736960857</v>
      </c>
      <c r="Z55">
        <v>7</v>
      </c>
      <c r="AA55">
        <v>59225.8259220232</v>
      </c>
      <c r="AB55">
        <f t="shared" si="4"/>
        <v>0.0635042719655986</v>
      </c>
      <c r="AD55">
        <v>0.982979016964301</v>
      </c>
      <c r="AG55">
        <v>548.317585301837</v>
      </c>
      <c r="AH55">
        <f t="shared" si="5"/>
        <v>2.91110657114205</v>
      </c>
      <c r="AJ55">
        <v>0.547174000841602</v>
      </c>
      <c r="AM55">
        <v>850.932561983471</v>
      </c>
      <c r="AN55">
        <f t="shared" si="6"/>
        <v>3.64759241754412</v>
      </c>
      <c r="AP55">
        <v>0.536554421042732</v>
      </c>
    </row>
    <row r="56" spans="1:40">
      <c r="A56">
        <v>2</v>
      </c>
      <c r="C56">
        <v>1024.41326530612</v>
      </c>
      <c r="D56">
        <f t="shared" si="0"/>
        <v>1.01551318229678</v>
      </c>
      <c r="F56">
        <v>0.825639495284402</v>
      </c>
      <c r="I56">
        <v>271.852412488174</v>
      </c>
      <c r="J56">
        <f t="shared" si="1"/>
        <v>1.47790592054032</v>
      </c>
      <c r="L56">
        <v>0.865938368117219</v>
      </c>
      <c r="O56">
        <v>1361.17705120296</v>
      </c>
      <c r="P56">
        <f t="shared" si="2"/>
        <v>1.60559550776719</v>
      </c>
      <c r="R56">
        <v>1.21126631460483</v>
      </c>
      <c r="U56">
        <v>3538.87879884226</v>
      </c>
      <c r="V56">
        <f t="shared" si="3"/>
        <v>4.26494562987201</v>
      </c>
      <c r="AA56">
        <v>16823.2021474293</v>
      </c>
      <c r="AB56">
        <f t="shared" si="4"/>
        <v>3.52048470933183</v>
      </c>
      <c r="AD56">
        <v>0.963550606318652</v>
      </c>
      <c r="AG56">
        <v>947.066707844348</v>
      </c>
      <c r="AH56">
        <f t="shared" si="5"/>
        <v>0.57896405898364</v>
      </c>
      <c r="AJ56">
        <v>0.528836972771803</v>
      </c>
      <c r="AM56">
        <v>1043.14614121511</v>
      </c>
      <c r="AN56">
        <f t="shared" si="6"/>
        <v>0.815736672324993</v>
      </c>
    </row>
    <row r="57" spans="1:40">
      <c r="A57">
        <v>1</v>
      </c>
      <c r="C57">
        <v>2005.57142857143</v>
      </c>
      <c r="D57">
        <f t="shared" si="0"/>
        <v>0.510783735105266</v>
      </c>
      <c r="F57">
        <v>0.805870414333374</v>
      </c>
      <c r="I57">
        <v>2500.97845726199</v>
      </c>
      <c r="J57">
        <f t="shared" si="1"/>
        <v>0.108698422291007</v>
      </c>
      <c r="L57">
        <v>0.863655266902755</v>
      </c>
      <c r="N57">
        <v>5</v>
      </c>
      <c r="O57">
        <v>34650.2854872881</v>
      </c>
      <c r="P57">
        <f t="shared" si="2"/>
        <v>0.0392832853196065</v>
      </c>
      <c r="R57">
        <v>1.20947297826149</v>
      </c>
      <c r="U57">
        <v>1574.76573775952</v>
      </c>
      <c r="V57">
        <f t="shared" si="3"/>
        <v>2.24724142390674</v>
      </c>
      <c r="AA57">
        <v>2710.21383475158</v>
      </c>
      <c r="AB57">
        <f t="shared" si="4"/>
        <v>6.20733387591586</v>
      </c>
      <c r="AD57">
        <v>0.92331856221689</v>
      </c>
      <c r="AG57">
        <v>1945.081799591</v>
      </c>
      <c r="AH57">
        <f t="shared" si="5"/>
        <v>0.486903279874138</v>
      </c>
      <c r="AJ57">
        <v>0.438053618969078</v>
      </c>
      <c r="AM57">
        <v>42075.7054361568</v>
      </c>
      <c r="AN57">
        <f t="shared" si="6"/>
        <v>0.024792124823621</v>
      </c>
    </row>
    <row r="58" spans="1:40">
      <c r="A58">
        <v>2</v>
      </c>
      <c r="C58">
        <v>1799.18226139134</v>
      </c>
      <c r="D58">
        <f t="shared" si="0"/>
        <v>1.11471276235265</v>
      </c>
      <c r="F58">
        <v>0.768784212502435</v>
      </c>
      <c r="I58">
        <v>2350.20691711389</v>
      </c>
      <c r="J58">
        <f t="shared" si="1"/>
        <v>1.06415245357768</v>
      </c>
      <c r="L58">
        <v>0.852556522068877</v>
      </c>
      <c r="O58">
        <v>13866.0083518931</v>
      </c>
      <c r="P58">
        <f t="shared" si="2"/>
        <v>2.49893730105516</v>
      </c>
      <c r="R58">
        <v>1.19024398679776</v>
      </c>
      <c r="U58">
        <v>1122.92715437074</v>
      </c>
      <c r="V58">
        <f t="shared" si="3"/>
        <v>1.40237568539517</v>
      </c>
      <c r="AA58">
        <v>2010.16161984677</v>
      </c>
      <c r="AB58">
        <f t="shared" si="4"/>
        <v>1.34825668144941</v>
      </c>
      <c r="AD58">
        <v>0.886262949893706</v>
      </c>
      <c r="AG58">
        <v>878.668390629754</v>
      </c>
      <c r="AH58">
        <f t="shared" si="5"/>
        <v>2.21366993547695</v>
      </c>
      <c r="AM58">
        <v>29276.1869266055</v>
      </c>
      <c r="AN58">
        <f t="shared" si="6"/>
        <v>1.43719896110922</v>
      </c>
    </row>
    <row r="59" spans="1:40">
      <c r="A59">
        <v>1</v>
      </c>
      <c r="C59">
        <v>1415.0875</v>
      </c>
      <c r="D59">
        <f t="shared" si="0"/>
        <v>1.27142827661988</v>
      </c>
      <c r="F59">
        <v>0.765850744649978</v>
      </c>
      <c r="I59">
        <v>16390.2748851455</v>
      </c>
      <c r="J59">
        <f t="shared" si="1"/>
        <v>0.143390329544984</v>
      </c>
      <c r="L59">
        <v>0.832278767003155</v>
      </c>
      <c r="O59">
        <v>2829.2988460008</v>
      </c>
      <c r="P59">
        <f t="shared" si="2"/>
        <v>4.90086382055138</v>
      </c>
      <c r="R59">
        <v>1.170183165121</v>
      </c>
      <c r="T59">
        <v>9</v>
      </c>
      <c r="U59">
        <v>891.512469414643</v>
      </c>
      <c r="V59">
        <f t="shared" si="3"/>
        <v>1.25957537655984</v>
      </c>
      <c r="AA59">
        <v>1859.2790587865</v>
      </c>
      <c r="AB59">
        <f t="shared" si="4"/>
        <v>1.08115111088206</v>
      </c>
      <c r="AD59">
        <v>0.801719671597877</v>
      </c>
      <c r="AF59">
        <v>7</v>
      </c>
      <c r="AG59">
        <v>254.080591320935</v>
      </c>
      <c r="AH59">
        <f t="shared" si="5"/>
        <v>3.45822711629275</v>
      </c>
      <c r="AM59">
        <v>2303.71488795207</v>
      </c>
      <c r="AN59">
        <f t="shared" si="6"/>
        <v>12.7082509557557</v>
      </c>
    </row>
    <row r="60" spans="1:40">
      <c r="A60">
        <v>2</v>
      </c>
      <c r="C60">
        <v>1952.43290516535</v>
      </c>
      <c r="D60">
        <f t="shared" si="0"/>
        <v>0.724781628222025</v>
      </c>
      <c r="F60">
        <v>0.726597489621242</v>
      </c>
      <c r="I60">
        <v>8240.68394648829</v>
      </c>
      <c r="J60">
        <f t="shared" si="1"/>
        <v>1.98894594084391</v>
      </c>
      <c r="L60">
        <v>0.827773168246549</v>
      </c>
      <c r="O60">
        <v>2460.85882352941</v>
      </c>
      <c r="P60">
        <f t="shared" si="2"/>
        <v>1.14972009728822</v>
      </c>
      <c r="R60">
        <v>1.16715908715626</v>
      </c>
      <c r="U60">
        <v>976.140442532268</v>
      </c>
      <c r="V60">
        <f t="shared" si="3"/>
        <v>0.913303486434712</v>
      </c>
      <c r="AA60">
        <v>1929.61225554107</v>
      </c>
      <c r="AB60">
        <f t="shared" si="4"/>
        <v>0.963550606318652</v>
      </c>
      <c r="AG60">
        <v>361.336456744389</v>
      </c>
      <c r="AH60">
        <f t="shared" si="5"/>
        <v>0.703168989949643</v>
      </c>
      <c r="AM60">
        <v>1651.46081504702</v>
      </c>
      <c r="AN60">
        <f t="shared" si="6"/>
        <v>1.39495582756923</v>
      </c>
    </row>
    <row r="61" spans="1:40">
      <c r="A61">
        <v>1</v>
      </c>
      <c r="C61">
        <v>2658.07168578288</v>
      </c>
      <c r="D61">
        <f t="shared" si="0"/>
        <v>0.734529815583322</v>
      </c>
      <c r="F61">
        <v>0.724781628222025</v>
      </c>
      <c r="H61">
        <v>8</v>
      </c>
      <c r="I61">
        <v>1849.99979765277</v>
      </c>
      <c r="J61">
        <f t="shared" si="1"/>
        <v>4.45442424206957</v>
      </c>
      <c r="L61">
        <v>0.818714283136134</v>
      </c>
      <c r="O61">
        <v>2623.11230541142</v>
      </c>
      <c r="P61">
        <f t="shared" si="2"/>
        <v>0.938144668244938</v>
      </c>
      <c r="R61">
        <v>1.16480591290992</v>
      </c>
      <c r="U61">
        <v>1804.29087374667</v>
      </c>
      <c r="V61">
        <f t="shared" si="3"/>
        <v>0.541010574700342</v>
      </c>
      <c r="Z61">
        <v>8</v>
      </c>
      <c r="AA61">
        <v>943.984640446823</v>
      </c>
      <c r="AB61">
        <f t="shared" si="4"/>
        <v>2.04411403836795</v>
      </c>
      <c r="AG61">
        <v>4086.25525976814</v>
      </c>
      <c r="AH61">
        <f t="shared" si="5"/>
        <v>0.0884272845854695</v>
      </c>
      <c r="AL61">
        <v>9</v>
      </c>
      <c r="AM61">
        <v>2940.47054973822</v>
      </c>
      <c r="AN61">
        <f t="shared" si="6"/>
        <v>0.561631476021429</v>
      </c>
    </row>
    <row r="62" spans="1:40">
      <c r="A62">
        <v>2</v>
      </c>
      <c r="C62">
        <v>2381.05187695516</v>
      </c>
      <c r="D62">
        <f t="shared" si="0"/>
        <v>1.11634345790986</v>
      </c>
      <c r="F62">
        <v>0.668808854610868</v>
      </c>
      <c r="I62">
        <v>618.405110732538</v>
      </c>
      <c r="J62">
        <f t="shared" si="1"/>
        <v>2.99156615226115</v>
      </c>
      <c r="L62">
        <v>0.808167519687061</v>
      </c>
      <c r="O62">
        <v>1752.56220258328</v>
      </c>
      <c r="P62">
        <f t="shared" si="2"/>
        <v>1.49672993149399</v>
      </c>
      <c r="R62">
        <v>1.14972009728822</v>
      </c>
      <c r="U62">
        <v>2203.90860484545</v>
      </c>
      <c r="V62">
        <f t="shared" si="3"/>
        <v>0.818677720927178</v>
      </c>
      <c r="AA62">
        <v>1022.38239224858</v>
      </c>
      <c r="AB62">
        <f t="shared" si="4"/>
        <v>0.92331856221689</v>
      </c>
      <c r="AG62">
        <v>3183.69666902906</v>
      </c>
      <c r="AH62">
        <f t="shared" si="5"/>
        <v>1.28349390176494</v>
      </c>
      <c r="AM62">
        <v>5480.28388998035</v>
      </c>
      <c r="AN62">
        <f t="shared" si="6"/>
        <v>0.536554421042732</v>
      </c>
    </row>
    <row r="63" spans="1:40">
      <c r="A63">
        <v>1</v>
      </c>
      <c r="B63">
        <v>7</v>
      </c>
      <c r="C63">
        <v>2572.22521456052</v>
      </c>
      <c r="D63">
        <f t="shared" si="0"/>
        <v>0.925677838579923</v>
      </c>
      <c r="F63">
        <v>0.644937999180686</v>
      </c>
      <c r="I63">
        <v>1018.66323474354</v>
      </c>
      <c r="J63">
        <f t="shared" si="1"/>
        <v>0.607075125164627</v>
      </c>
      <c r="L63">
        <v>0.796442273953297</v>
      </c>
      <c r="O63">
        <v>21320.9828160617</v>
      </c>
      <c r="P63">
        <f t="shared" si="2"/>
        <v>0.0821989407197038</v>
      </c>
      <c r="R63">
        <v>1.14943624804082</v>
      </c>
      <c r="U63">
        <v>585.783958259639</v>
      </c>
      <c r="V63">
        <f t="shared" si="3"/>
        <v>3.76232324864827</v>
      </c>
      <c r="AA63">
        <v>1174.9943332074</v>
      </c>
      <c r="AB63">
        <f t="shared" si="4"/>
        <v>0.87011687065568</v>
      </c>
      <c r="AF63">
        <v>8</v>
      </c>
      <c r="AG63">
        <v>7354.86666666667</v>
      </c>
      <c r="AH63">
        <f t="shared" si="5"/>
        <v>0.432869392922925</v>
      </c>
      <c r="AM63">
        <v>34731.8240111866</v>
      </c>
      <c r="AN63">
        <f t="shared" si="6"/>
        <v>0.157788542525588</v>
      </c>
    </row>
    <row r="64" spans="1:40">
      <c r="A64">
        <v>2</v>
      </c>
      <c r="C64">
        <v>1855.71068190777</v>
      </c>
      <c r="D64">
        <f t="shared" si="0"/>
        <v>1.38611327705251</v>
      </c>
      <c r="F64">
        <v>0.592300956614898</v>
      </c>
      <c r="I64">
        <v>437.829261744966</v>
      </c>
      <c r="J64">
        <f t="shared" si="1"/>
        <v>2.32662209621089</v>
      </c>
      <c r="L64">
        <v>0.796390402636186</v>
      </c>
      <c r="O64">
        <v>5187.49531542786</v>
      </c>
      <c r="P64">
        <f t="shared" si="2"/>
        <v>4.11007268819156</v>
      </c>
      <c r="R64">
        <v>1.14670307973931</v>
      </c>
      <c r="U64">
        <v>505.128984651712</v>
      </c>
      <c r="V64">
        <f t="shared" si="3"/>
        <v>1.15967203636817</v>
      </c>
      <c r="AA64">
        <v>1325.78523489933</v>
      </c>
      <c r="AB64">
        <f t="shared" si="4"/>
        <v>0.886262949893706</v>
      </c>
      <c r="AG64">
        <v>1714.79011675265</v>
      </c>
      <c r="AH64">
        <f t="shared" si="5"/>
        <v>4.28907689332547</v>
      </c>
      <c r="AM64">
        <v>11577.2309990043</v>
      </c>
      <c r="AN64">
        <f t="shared" si="6"/>
        <v>3.00001131653793</v>
      </c>
    </row>
    <row r="65" spans="1:40">
      <c r="A65">
        <v>1</v>
      </c>
      <c r="C65">
        <v>33307.7736913796</v>
      </c>
      <c r="D65">
        <f t="shared" si="0"/>
        <v>0.0557140413857215</v>
      </c>
      <c r="F65">
        <v>0.575921794191616</v>
      </c>
      <c r="I65">
        <v>377.366372462489</v>
      </c>
      <c r="J65">
        <f t="shared" si="1"/>
        <v>1.16022331001019</v>
      </c>
      <c r="L65">
        <v>0.794695189000878</v>
      </c>
      <c r="N65">
        <v>6</v>
      </c>
      <c r="O65">
        <v>10360.4546615581</v>
      </c>
      <c r="P65">
        <f t="shared" si="2"/>
        <v>0.500701512133032</v>
      </c>
      <c r="R65">
        <v>1.14489050412233</v>
      </c>
      <c r="T65">
        <v>10</v>
      </c>
      <c r="U65">
        <v>2874.96597388266</v>
      </c>
      <c r="V65">
        <f t="shared" si="3"/>
        <v>0.175699117568871</v>
      </c>
      <c r="AA65">
        <v>1982.75088738303</v>
      </c>
      <c r="AB65">
        <f t="shared" si="4"/>
        <v>0.668659509036555</v>
      </c>
      <c r="AG65">
        <v>697.453138227113</v>
      </c>
      <c r="AH65">
        <f t="shared" si="5"/>
        <v>2.45864563906265</v>
      </c>
      <c r="AM65">
        <v>28331.8334546778</v>
      </c>
      <c r="AN65">
        <f t="shared" si="6"/>
        <v>0.408629784497509</v>
      </c>
    </row>
    <row r="66" spans="1:40">
      <c r="A66">
        <v>2</v>
      </c>
      <c r="C66">
        <v>13209.5579268293</v>
      </c>
      <c r="D66">
        <f t="shared" si="0"/>
        <v>2.52149041443164</v>
      </c>
      <c r="I66">
        <v>390.632333767927</v>
      </c>
      <c r="J66">
        <f t="shared" si="1"/>
        <v>0.966039776642455</v>
      </c>
      <c r="L66">
        <v>0.784805752038286</v>
      </c>
      <c r="O66">
        <v>4439.81257275902</v>
      </c>
      <c r="P66">
        <f t="shared" si="2"/>
        <v>2.33353424086545</v>
      </c>
      <c r="R66">
        <v>1.14156105917613</v>
      </c>
      <c r="U66">
        <v>4065.49829101563</v>
      </c>
      <c r="V66">
        <f t="shared" si="3"/>
        <v>0.707162017565243</v>
      </c>
      <c r="AA66">
        <v>1185.44960212202</v>
      </c>
      <c r="AB66">
        <f t="shared" si="4"/>
        <v>1.67257290721917</v>
      </c>
      <c r="AG66">
        <v>474.656422212802</v>
      </c>
      <c r="AH66">
        <f t="shared" si="5"/>
        <v>1.46938523443053</v>
      </c>
      <c r="AM66">
        <v>23499.6278169014</v>
      </c>
      <c r="AN66">
        <f t="shared" si="6"/>
        <v>1.20562902848619</v>
      </c>
    </row>
    <row r="67" spans="1:40">
      <c r="A67">
        <v>1</v>
      </c>
      <c r="C67">
        <v>4236.74232113298</v>
      </c>
      <c r="D67">
        <f t="shared" si="0"/>
        <v>3.11785728882771</v>
      </c>
      <c r="I67">
        <v>278.328884798282</v>
      </c>
      <c r="J67">
        <f t="shared" si="1"/>
        <v>1.4034918943143</v>
      </c>
      <c r="L67">
        <v>0.780147578450193</v>
      </c>
      <c r="O67">
        <v>2525.61300639659</v>
      </c>
      <c r="P67">
        <f t="shared" si="2"/>
        <v>1.75791483553274</v>
      </c>
      <c r="R67">
        <v>1.14141512294232</v>
      </c>
      <c r="U67">
        <v>59684.715703573</v>
      </c>
      <c r="V67">
        <f t="shared" si="3"/>
        <v>0.0681162378523695</v>
      </c>
      <c r="AA67">
        <v>848.985285194175</v>
      </c>
      <c r="AB67">
        <f t="shared" si="4"/>
        <v>1.39631348481015</v>
      </c>
      <c r="AF67">
        <v>9</v>
      </c>
      <c r="AG67">
        <v>286.447500464598</v>
      </c>
      <c r="AH67">
        <f t="shared" si="5"/>
        <v>1.65704508310578</v>
      </c>
      <c r="AM67">
        <v>3234.73360215054</v>
      </c>
      <c r="AN67">
        <f t="shared" si="6"/>
        <v>7.26477995012579</v>
      </c>
    </row>
    <row r="68" spans="1:40">
      <c r="A68">
        <v>2</v>
      </c>
      <c r="C68">
        <v>4867.20931449503</v>
      </c>
      <c r="D68">
        <f t="shared" si="0"/>
        <v>0.870466431044077</v>
      </c>
      <c r="I68">
        <v>299.757575757576</v>
      </c>
      <c r="J68">
        <f t="shared" si="1"/>
        <v>0.928513263075546</v>
      </c>
      <c r="L68">
        <v>0.779006840783285</v>
      </c>
      <c r="O68">
        <v>1499.31266490765</v>
      </c>
      <c r="P68">
        <f t="shared" si="2"/>
        <v>1.68451388793688</v>
      </c>
      <c r="R68">
        <v>1.13119319052655</v>
      </c>
      <c r="U68">
        <v>17995.355081757</v>
      </c>
      <c r="V68">
        <f t="shared" si="3"/>
        <v>3.31667341002229</v>
      </c>
      <c r="AA68">
        <v>565.041911148365</v>
      </c>
      <c r="AB68">
        <f t="shared" si="4"/>
        <v>1.50251736808113</v>
      </c>
      <c r="AG68">
        <v>267.948046181172</v>
      </c>
      <c r="AH68">
        <f t="shared" si="5"/>
        <v>1.06904119864684</v>
      </c>
      <c r="AM68">
        <v>3527.88775510204</v>
      </c>
      <c r="AN68">
        <f t="shared" si="6"/>
        <v>0.916903775487885</v>
      </c>
    </row>
    <row r="69" spans="1:40">
      <c r="A69">
        <v>1</v>
      </c>
      <c r="C69">
        <v>1439.94538655535</v>
      </c>
      <c r="D69">
        <f t="shared" ref="D69:D128" si="7">C68/C69</f>
        <v>3.38013466339749</v>
      </c>
      <c r="I69">
        <v>447.633760512615</v>
      </c>
      <c r="J69">
        <f t="shared" ref="J69:J132" si="8">I68/I69</f>
        <v>0.669649169031182</v>
      </c>
      <c r="L69">
        <v>0.774057228844864</v>
      </c>
      <c r="O69">
        <v>13052.5500490677</v>
      </c>
      <c r="P69">
        <f t="shared" ref="P69:P132" si="9">O68/O69</f>
        <v>0.114867413591319</v>
      </c>
      <c r="R69">
        <v>1.10729904238945</v>
      </c>
      <c r="U69">
        <v>2422.26611662704</v>
      </c>
      <c r="V69">
        <f t="shared" ref="V69:V88" si="10">U68/U69</f>
        <v>7.42914040626353</v>
      </c>
      <c r="AA69">
        <v>909.709656925032</v>
      </c>
      <c r="AB69">
        <f t="shared" ref="AB69:AB116" si="11">AA68/AA69</f>
        <v>0.621123351661781</v>
      </c>
      <c r="AG69">
        <v>624.044487427466</v>
      </c>
      <c r="AH69">
        <f t="shared" ref="AH69:AH112" si="12">AG68/AG69</f>
        <v>0.429373308441117</v>
      </c>
      <c r="AL69">
        <v>10</v>
      </c>
      <c r="AM69">
        <v>8642.3395995096</v>
      </c>
      <c r="AN69">
        <f t="shared" ref="AN69:AN108" si="13">AM68/AM69</f>
        <v>0.40820980412552</v>
      </c>
    </row>
    <row r="70" spans="1:40">
      <c r="A70">
        <v>2</v>
      </c>
      <c r="C70">
        <v>1486.46752015173</v>
      </c>
      <c r="D70">
        <f t="shared" si="7"/>
        <v>0.968702892619119</v>
      </c>
      <c r="I70">
        <v>410.749628528975</v>
      </c>
      <c r="J70">
        <f t="shared" si="8"/>
        <v>1.08979711586285</v>
      </c>
      <c r="L70">
        <v>0.751731760028058</v>
      </c>
      <c r="O70">
        <v>6571.30403309204</v>
      </c>
      <c r="P70">
        <f t="shared" si="9"/>
        <v>1.98629525940926</v>
      </c>
      <c r="R70">
        <v>1.09448114025371</v>
      </c>
      <c r="U70">
        <v>2318.887043665</v>
      </c>
      <c r="V70">
        <f t="shared" si="10"/>
        <v>1.04458133191285</v>
      </c>
      <c r="AA70">
        <v>674.565798263193</v>
      </c>
      <c r="AB70">
        <f t="shared" si="11"/>
        <v>1.34858550384153</v>
      </c>
      <c r="AG70">
        <v>417.162239197355</v>
      </c>
      <c r="AH70">
        <f t="shared" si="12"/>
        <v>1.49592755237906</v>
      </c>
      <c r="AM70">
        <v>5499.5792</v>
      </c>
      <c r="AN70">
        <f t="shared" si="13"/>
        <v>1.57145470320886</v>
      </c>
    </row>
    <row r="71" spans="1:40">
      <c r="A71">
        <v>1</v>
      </c>
      <c r="B71">
        <v>8</v>
      </c>
      <c r="C71">
        <v>1193.76245992422</v>
      </c>
      <c r="D71">
        <f t="shared" si="7"/>
        <v>1.245195396952</v>
      </c>
      <c r="H71">
        <v>9</v>
      </c>
      <c r="I71">
        <v>9906.28397727273</v>
      </c>
      <c r="J71">
        <f t="shared" si="8"/>
        <v>0.0414635426837478</v>
      </c>
      <c r="L71">
        <v>0.729804520421147</v>
      </c>
      <c r="N71">
        <v>7</v>
      </c>
      <c r="O71">
        <v>988.24980011422</v>
      </c>
      <c r="P71">
        <f t="shared" si="9"/>
        <v>6.64943623801648</v>
      </c>
      <c r="R71">
        <v>1.06514748371587</v>
      </c>
      <c r="T71">
        <v>11</v>
      </c>
      <c r="U71">
        <v>2308.10251343173</v>
      </c>
      <c r="V71">
        <f t="shared" si="10"/>
        <v>1.00467246587641</v>
      </c>
      <c r="AA71">
        <v>804.044943820225</v>
      </c>
      <c r="AB71">
        <f t="shared" si="11"/>
        <v>0.838965288505089</v>
      </c>
      <c r="AG71">
        <v>563.250100630619</v>
      </c>
      <c r="AH71">
        <f t="shared" si="12"/>
        <v>0.740634113922567</v>
      </c>
      <c r="AM71">
        <v>10850.5830896686</v>
      </c>
      <c r="AN71">
        <f t="shared" si="13"/>
        <v>0.506846420561162</v>
      </c>
    </row>
    <row r="72" spans="1:40">
      <c r="A72">
        <v>2</v>
      </c>
      <c r="C72">
        <v>1423.66050583658</v>
      </c>
      <c r="D72">
        <f t="shared" si="7"/>
        <v>0.838516243886905</v>
      </c>
      <c r="I72">
        <v>5004.50407771648</v>
      </c>
      <c r="J72">
        <f t="shared" si="8"/>
        <v>1.97947365481874</v>
      </c>
      <c r="L72">
        <v>0.702094819267903</v>
      </c>
      <c r="O72">
        <v>859.769127516779</v>
      </c>
      <c r="P72">
        <f t="shared" si="9"/>
        <v>1.14943624804082</v>
      </c>
      <c r="R72">
        <v>1.03267527616017</v>
      </c>
      <c r="U72">
        <v>2056.88188091799</v>
      </c>
      <c r="V72">
        <f t="shared" si="10"/>
        <v>1.12213663547934</v>
      </c>
      <c r="AA72">
        <v>572.894190871369</v>
      </c>
      <c r="AB72">
        <f t="shared" si="11"/>
        <v>1.40347896109276</v>
      </c>
      <c r="AG72">
        <v>609.476038338658</v>
      </c>
      <c r="AH72">
        <f t="shared" si="12"/>
        <v>0.924154626596898</v>
      </c>
      <c r="AM72">
        <v>6651.77928571429</v>
      </c>
      <c r="AN72">
        <f t="shared" si="13"/>
        <v>1.63123017520619</v>
      </c>
    </row>
    <row r="73" spans="1:40">
      <c r="A73">
        <v>1</v>
      </c>
      <c r="C73">
        <v>16576.5112274185</v>
      </c>
      <c r="D73">
        <f t="shared" si="7"/>
        <v>0.0858842060494469</v>
      </c>
      <c r="I73">
        <v>954.658856235107</v>
      </c>
      <c r="J73">
        <f t="shared" si="8"/>
        <v>5.24219101413123</v>
      </c>
      <c r="L73">
        <v>0.680119941646307</v>
      </c>
      <c r="O73">
        <v>4044.01005152462</v>
      </c>
      <c r="P73">
        <f t="shared" si="9"/>
        <v>0.212603113385596</v>
      </c>
      <c r="R73">
        <v>0.927091880501514</v>
      </c>
      <c r="U73">
        <v>30095.2847369164</v>
      </c>
      <c r="V73">
        <f t="shared" si="10"/>
        <v>0.0683456527791184</v>
      </c>
      <c r="Z73">
        <v>9</v>
      </c>
      <c r="AA73">
        <v>1025.56448412698</v>
      </c>
      <c r="AB73">
        <f t="shared" si="11"/>
        <v>0.558613524296378</v>
      </c>
      <c r="AG73">
        <v>268.9213125</v>
      </c>
      <c r="AH73">
        <f t="shared" si="12"/>
        <v>2.26637313596578</v>
      </c>
      <c r="AM73">
        <v>1758.67328182188</v>
      </c>
      <c r="AN73">
        <f t="shared" si="13"/>
        <v>3.78227118957732</v>
      </c>
    </row>
    <row r="74" spans="1:40">
      <c r="A74">
        <v>2</v>
      </c>
      <c r="C74">
        <v>11901.8653421634</v>
      </c>
      <c r="D74">
        <f t="shared" si="7"/>
        <v>1.39276581870699</v>
      </c>
      <c r="I74">
        <v>927.924054462935</v>
      </c>
      <c r="J74">
        <f t="shared" si="8"/>
        <v>1.02881141149816</v>
      </c>
      <c r="L74">
        <v>0.532547743868822</v>
      </c>
      <c r="O74">
        <v>4540.69592088999</v>
      </c>
      <c r="P74">
        <f t="shared" si="9"/>
        <v>0.890614593441435</v>
      </c>
      <c r="R74">
        <v>0.922673071820848</v>
      </c>
      <c r="U74">
        <v>8662.53123373243</v>
      </c>
      <c r="V74">
        <f t="shared" si="10"/>
        <v>3.47419061760187</v>
      </c>
      <c r="AA74">
        <v>713.700815956482</v>
      </c>
      <c r="AB74">
        <f t="shared" si="11"/>
        <v>1.4369669491726</v>
      </c>
      <c r="AG74">
        <v>254.936293436293</v>
      </c>
      <c r="AH74">
        <f t="shared" si="12"/>
        <v>1.05485691689952</v>
      </c>
      <c r="AM74">
        <v>1471.00455062571</v>
      </c>
      <c r="AN74">
        <f t="shared" si="13"/>
        <v>1.19555937544436</v>
      </c>
    </row>
    <row r="75" spans="1:40">
      <c r="A75">
        <v>1</v>
      </c>
      <c r="C75">
        <v>1797.86211104332</v>
      </c>
      <c r="D75">
        <f t="shared" si="7"/>
        <v>6.62001010481088</v>
      </c>
      <c r="I75">
        <v>280.558710976838</v>
      </c>
      <c r="J75">
        <f t="shared" si="8"/>
        <v>3.30741487666566</v>
      </c>
      <c r="L75">
        <v>0.530655928383591</v>
      </c>
      <c r="O75">
        <v>1385.16265212982</v>
      </c>
      <c r="P75">
        <f t="shared" si="9"/>
        <v>3.27809583510517</v>
      </c>
      <c r="R75">
        <v>0.890614593441435</v>
      </c>
      <c r="T75">
        <v>12</v>
      </c>
      <c r="U75">
        <v>44647.6695801584</v>
      </c>
      <c r="V75">
        <f t="shared" si="10"/>
        <v>0.194019784575321</v>
      </c>
      <c r="AA75">
        <v>1898.24743230626</v>
      </c>
      <c r="AB75">
        <f t="shared" si="11"/>
        <v>0.375978812777519</v>
      </c>
      <c r="AF75">
        <v>10</v>
      </c>
      <c r="AG75">
        <v>588.174887892377</v>
      </c>
      <c r="AH75">
        <f t="shared" si="12"/>
        <v>0.433436208658641</v>
      </c>
      <c r="AL75">
        <v>11</v>
      </c>
      <c r="AM75">
        <v>23151.585295531</v>
      </c>
      <c r="AN75">
        <f t="shared" si="13"/>
        <v>0.0635379621675264</v>
      </c>
    </row>
    <row r="76" spans="1:40">
      <c r="A76">
        <v>2</v>
      </c>
      <c r="C76">
        <v>1681.20408163265</v>
      </c>
      <c r="D76">
        <f t="shared" si="7"/>
        <v>1.06938957065663</v>
      </c>
      <c r="I76">
        <v>353.039397821909</v>
      </c>
      <c r="J76">
        <f t="shared" si="8"/>
        <v>0.794695189000878</v>
      </c>
      <c r="L76">
        <v>0.527090516613459</v>
      </c>
      <c r="O76">
        <v>1300.44212027573</v>
      </c>
      <c r="P76">
        <f t="shared" si="9"/>
        <v>1.06514748371587</v>
      </c>
      <c r="R76">
        <v>0.88996847953859</v>
      </c>
      <c r="U76">
        <v>19882.3193348707</v>
      </c>
      <c r="V76">
        <f t="shared" si="10"/>
        <v>2.24559664434385</v>
      </c>
      <c r="AA76">
        <v>1107.90547798067</v>
      </c>
      <c r="AB76">
        <f t="shared" si="11"/>
        <v>1.71336586923111</v>
      </c>
      <c r="AG76">
        <v>1074.93208191126</v>
      </c>
      <c r="AH76">
        <f t="shared" si="12"/>
        <v>0.547174000841602</v>
      </c>
      <c r="AM76">
        <v>9120.35719086022</v>
      </c>
      <c r="AN76">
        <f t="shared" si="13"/>
        <v>2.53845159910315</v>
      </c>
    </row>
    <row r="77" spans="1:40">
      <c r="A77">
        <v>1</v>
      </c>
      <c r="C77">
        <v>1395.66816878329</v>
      </c>
      <c r="D77">
        <f t="shared" si="7"/>
        <v>1.20458725020453</v>
      </c>
      <c r="I77">
        <v>260.142504626774</v>
      </c>
      <c r="J77">
        <f t="shared" si="8"/>
        <v>1.35710001842419</v>
      </c>
      <c r="L77">
        <v>0.520672780413639</v>
      </c>
      <c r="O77">
        <v>11784.1800046937</v>
      </c>
      <c r="P77">
        <f t="shared" si="9"/>
        <v>0.110354909697387</v>
      </c>
      <c r="U77">
        <v>54710.5893265872</v>
      </c>
      <c r="V77">
        <f t="shared" si="10"/>
        <v>0.363408977669496</v>
      </c>
      <c r="AA77">
        <v>1234.21354621429</v>
      </c>
      <c r="AB77">
        <f t="shared" si="11"/>
        <v>0.897661090642664</v>
      </c>
      <c r="AG77">
        <v>474.324267043448</v>
      </c>
      <c r="AH77">
        <f t="shared" si="12"/>
        <v>2.26623885092684</v>
      </c>
      <c r="AM77">
        <v>14074.1134006913</v>
      </c>
      <c r="AN77">
        <f t="shared" si="13"/>
        <v>0.648023568604488</v>
      </c>
    </row>
    <row r="78" spans="1:40">
      <c r="A78">
        <v>2</v>
      </c>
      <c r="C78">
        <v>1629.88704703161</v>
      </c>
      <c r="D78">
        <f t="shared" si="7"/>
        <v>0.856297478604493</v>
      </c>
      <c r="I78">
        <v>268.182315789474</v>
      </c>
      <c r="J78">
        <f t="shared" si="8"/>
        <v>0.970021098747572</v>
      </c>
      <c r="L78">
        <v>0.518773073798077</v>
      </c>
      <c r="O78">
        <v>6650.23581681476</v>
      </c>
      <c r="P78">
        <f t="shared" si="9"/>
        <v>1.77199430656249</v>
      </c>
      <c r="U78">
        <v>14721.4477077364</v>
      </c>
      <c r="V78">
        <f t="shared" si="10"/>
        <v>3.71638648676079</v>
      </c>
      <c r="AA78">
        <v>816.642004341534</v>
      </c>
      <c r="AB78">
        <f t="shared" si="11"/>
        <v>1.51132753354935</v>
      </c>
      <c r="AG78">
        <v>768.030799475754</v>
      </c>
      <c r="AH78">
        <f t="shared" si="12"/>
        <v>0.617584955404411</v>
      </c>
      <c r="AM78">
        <v>14961.8295511851</v>
      </c>
      <c r="AN78">
        <f t="shared" si="13"/>
        <v>0.940667941212879</v>
      </c>
    </row>
    <row r="79" spans="1:40">
      <c r="A79">
        <v>1</v>
      </c>
      <c r="C79">
        <v>1013.49363658757</v>
      </c>
      <c r="D79">
        <f t="shared" si="7"/>
        <v>1.60818675933619</v>
      </c>
      <c r="H79">
        <v>10</v>
      </c>
      <c r="I79">
        <v>229.919230769231</v>
      </c>
      <c r="J79">
        <f t="shared" si="8"/>
        <v>1.16641968091241</v>
      </c>
      <c r="L79">
        <v>0.507527064872931</v>
      </c>
      <c r="O79">
        <v>935.251104972376</v>
      </c>
      <c r="P79">
        <f t="shared" si="9"/>
        <v>7.11064203127692</v>
      </c>
      <c r="U79">
        <v>7186.42532637076</v>
      </c>
      <c r="V79">
        <f t="shared" si="10"/>
        <v>2.04850771268933</v>
      </c>
      <c r="AA79">
        <v>956.58154637912</v>
      </c>
      <c r="AB79">
        <f t="shared" si="11"/>
        <v>0.853708716661649</v>
      </c>
      <c r="AF79">
        <v>11</v>
      </c>
      <c r="AG79">
        <v>455.736253041363</v>
      </c>
      <c r="AH79">
        <f t="shared" si="12"/>
        <v>1.68525280653073</v>
      </c>
      <c r="AM79">
        <v>3344.5530726257</v>
      </c>
      <c r="AN79">
        <f t="shared" si="13"/>
        <v>4.47349144304027</v>
      </c>
    </row>
    <row r="80" spans="1:40">
      <c r="A80">
        <v>2</v>
      </c>
      <c r="C80">
        <v>1037.76846153846</v>
      </c>
      <c r="D80">
        <f t="shared" si="7"/>
        <v>0.976608631066988</v>
      </c>
      <c r="I80">
        <v>276.252669039146</v>
      </c>
      <c r="J80">
        <f t="shared" si="8"/>
        <v>0.832278767003155</v>
      </c>
      <c r="L80">
        <v>0.491621772957927</v>
      </c>
      <c r="O80">
        <v>1008.80088008801</v>
      </c>
      <c r="P80">
        <f t="shared" si="9"/>
        <v>0.927091880501514</v>
      </c>
      <c r="U80">
        <v>6397.85767575323</v>
      </c>
      <c r="V80">
        <f t="shared" si="10"/>
        <v>1.12325495354579</v>
      </c>
      <c r="AA80">
        <v>590.701880877743</v>
      </c>
      <c r="AB80">
        <f t="shared" si="11"/>
        <v>1.61939817248881</v>
      </c>
      <c r="AG80">
        <v>861.770784770785</v>
      </c>
      <c r="AH80">
        <f t="shared" si="12"/>
        <v>0.528836972771803</v>
      </c>
      <c r="AM80">
        <v>3081.75679172057</v>
      </c>
      <c r="AN80">
        <f t="shared" si="13"/>
        <v>1.08527482817955</v>
      </c>
    </row>
    <row r="81" spans="1:40">
      <c r="A81">
        <v>1</v>
      </c>
      <c r="C81">
        <v>1764.12339942173</v>
      </c>
      <c r="D81">
        <f t="shared" si="7"/>
        <v>0.588262964982288</v>
      </c>
      <c r="I81">
        <v>4552.21396433928</v>
      </c>
      <c r="J81">
        <f t="shared" si="8"/>
        <v>0.0606853437037953</v>
      </c>
      <c r="L81">
        <v>0.482707317452402</v>
      </c>
      <c r="O81">
        <v>1025.00139632302</v>
      </c>
      <c r="P81">
        <f t="shared" si="9"/>
        <v>0.984194639838418</v>
      </c>
      <c r="U81">
        <v>7855.82315566537</v>
      </c>
      <c r="V81">
        <f t="shared" si="10"/>
        <v>0.814409584963646</v>
      </c>
      <c r="AA81">
        <v>528.333291848164</v>
      </c>
      <c r="AB81">
        <f t="shared" si="11"/>
        <v>1.11804781184886</v>
      </c>
      <c r="AG81">
        <v>459.05390070922</v>
      </c>
      <c r="AH81">
        <f t="shared" si="12"/>
        <v>1.87727581323105</v>
      </c>
      <c r="AM81">
        <v>1184.84048027444</v>
      </c>
      <c r="AN81">
        <f t="shared" si="13"/>
        <v>2.60098877699279</v>
      </c>
    </row>
    <row r="82" spans="1:40">
      <c r="A82">
        <v>2</v>
      </c>
      <c r="C82">
        <v>1692.0822122571</v>
      </c>
      <c r="D82">
        <f t="shared" si="7"/>
        <v>1.0425754650943</v>
      </c>
      <c r="I82">
        <v>6237.57984084881</v>
      </c>
      <c r="J82">
        <f t="shared" si="8"/>
        <v>0.729804520421147</v>
      </c>
      <c r="L82">
        <v>0.472381802900622</v>
      </c>
      <c r="O82">
        <v>879.976127320955</v>
      </c>
      <c r="P82">
        <f t="shared" si="9"/>
        <v>1.16480591290992</v>
      </c>
      <c r="U82">
        <v>7561.25908033637</v>
      </c>
      <c r="V82">
        <f t="shared" si="10"/>
        <v>1.03895701393106</v>
      </c>
      <c r="AA82">
        <v>465.495466321243</v>
      </c>
      <c r="AB82">
        <f t="shared" si="11"/>
        <v>1.13499127289793</v>
      </c>
      <c r="AG82">
        <v>671.504896626768</v>
      </c>
      <c r="AH82">
        <f t="shared" si="12"/>
        <v>0.683619587906548</v>
      </c>
      <c r="AM82">
        <v>1054.47482014388</v>
      </c>
      <c r="AN82">
        <f t="shared" si="13"/>
        <v>1.12363088965251</v>
      </c>
    </row>
    <row r="83" spans="1:40">
      <c r="A83">
        <v>1</v>
      </c>
      <c r="C83">
        <v>34721.2133285042</v>
      </c>
      <c r="D83">
        <f t="shared" si="7"/>
        <v>0.0487333837169796</v>
      </c>
      <c r="I83">
        <v>1342.14261954262</v>
      </c>
      <c r="J83">
        <f t="shared" si="8"/>
        <v>4.6474791501476</v>
      </c>
      <c r="O83">
        <v>1477.12810559006</v>
      </c>
      <c r="P83">
        <f t="shared" si="9"/>
        <v>0.59573446879168</v>
      </c>
      <c r="T83">
        <v>13</v>
      </c>
      <c r="U83">
        <v>944.721478174603</v>
      </c>
      <c r="V83">
        <f t="shared" si="10"/>
        <v>8.00369130481323</v>
      </c>
      <c r="Z83">
        <v>10</v>
      </c>
      <c r="AA83">
        <v>8794.25859770728</v>
      </c>
      <c r="AB83">
        <f t="shared" si="11"/>
        <v>0.0529317464513269</v>
      </c>
      <c r="AG83">
        <v>783.415913200723</v>
      </c>
      <c r="AH83">
        <f t="shared" si="12"/>
        <v>0.857149931871142</v>
      </c>
      <c r="AL83">
        <v>12</v>
      </c>
      <c r="AM83">
        <v>4943.89102942915</v>
      </c>
      <c r="AN83">
        <f t="shared" si="13"/>
        <v>0.213288443023316</v>
      </c>
    </row>
    <row r="84" spans="1:40">
      <c r="A84">
        <v>2</v>
      </c>
      <c r="C84">
        <v>14931.8138629283</v>
      </c>
      <c r="D84">
        <f t="shared" si="7"/>
        <v>2.32531785135011</v>
      </c>
      <c r="I84">
        <v>1409.78514780101</v>
      </c>
      <c r="J84">
        <f t="shared" si="8"/>
        <v>0.952019264521336</v>
      </c>
      <c r="O84">
        <v>913.011078286558</v>
      </c>
      <c r="P84">
        <f t="shared" si="9"/>
        <v>1.61786438381687</v>
      </c>
      <c r="U84">
        <v>1046.82147129187</v>
      </c>
      <c r="V84">
        <f t="shared" si="10"/>
        <v>0.902466661300645</v>
      </c>
      <c r="AA84">
        <v>3741.09831181728</v>
      </c>
      <c r="AB84">
        <f t="shared" si="11"/>
        <v>2.35071571627193</v>
      </c>
      <c r="AG84">
        <v>708.960346399271</v>
      </c>
      <c r="AH84">
        <f t="shared" si="12"/>
        <v>1.10502077750837</v>
      </c>
      <c r="AM84">
        <v>5177.85332817337</v>
      </c>
      <c r="AN84">
        <f t="shared" si="13"/>
        <v>0.954814807620911</v>
      </c>
    </row>
    <row r="85" spans="1:40">
      <c r="A85">
        <v>1</v>
      </c>
      <c r="C85">
        <v>1287.45465890183</v>
      </c>
      <c r="D85">
        <f t="shared" si="7"/>
        <v>11.5979337677529</v>
      </c>
      <c r="I85">
        <v>232.453911020646</v>
      </c>
      <c r="J85">
        <f t="shared" si="8"/>
        <v>6.06479427087719</v>
      </c>
      <c r="O85">
        <v>1410.6904090268</v>
      </c>
      <c r="P85">
        <f t="shared" si="9"/>
        <v>0.647208680547011</v>
      </c>
      <c r="U85">
        <v>2024.80602829608</v>
      </c>
      <c r="V85">
        <f t="shared" si="10"/>
        <v>0.516998397210815</v>
      </c>
      <c r="AA85">
        <v>39498.9376325309</v>
      </c>
      <c r="AB85">
        <f t="shared" si="11"/>
        <v>0.0947138970324141</v>
      </c>
      <c r="AG85">
        <v>690.382683057189</v>
      </c>
      <c r="AH85">
        <f t="shared" si="12"/>
        <v>1.02690922556142</v>
      </c>
      <c r="AM85">
        <v>4042.18617946806</v>
      </c>
      <c r="AN85">
        <f t="shared" si="13"/>
        <v>1.28095369641157</v>
      </c>
    </row>
    <row r="86" spans="1:40">
      <c r="A86">
        <v>2</v>
      </c>
      <c r="C86">
        <v>1681.07776599505</v>
      </c>
      <c r="D86">
        <f t="shared" si="7"/>
        <v>0.765850744649978</v>
      </c>
      <c r="I86">
        <v>341.783701354154</v>
      </c>
      <c r="J86">
        <f t="shared" si="8"/>
        <v>0.680119941646307</v>
      </c>
      <c r="O86">
        <v>975.805805114029</v>
      </c>
      <c r="P86">
        <f t="shared" si="9"/>
        <v>1.44566716208657</v>
      </c>
      <c r="U86">
        <v>1381.15736342043</v>
      </c>
      <c r="V86">
        <f t="shared" si="10"/>
        <v>1.46602123836321</v>
      </c>
      <c r="AA86">
        <v>17657.7786972205</v>
      </c>
      <c r="AB86">
        <f t="shared" si="11"/>
        <v>2.2369142976488</v>
      </c>
      <c r="AG86">
        <v>1213.89406593407</v>
      </c>
      <c r="AH86">
        <f t="shared" si="12"/>
        <v>0.568733880848121</v>
      </c>
      <c r="AM86">
        <v>4916.92823712948</v>
      </c>
      <c r="AN86">
        <f t="shared" si="13"/>
        <v>0.822095825793037</v>
      </c>
    </row>
    <row r="87" spans="1:40">
      <c r="A87">
        <v>1</v>
      </c>
      <c r="C87">
        <v>26762.4901737397</v>
      </c>
      <c r="D87">
        <f t="shared" si="7"/>
        <v>0.0628146990463758</v>
      </c>
      <c r="I87">
        <v>1362.48928332217</v>
      </c>
      <c r="J87">
        <f t="shared" si="8"/>
        <v>0.250852396079608</v>
      </c>
      <c r="O87">
        <v>1113.38621794872</v>
      </c>
      <c r="P87">
        <f t="shared" si="9"/>
        <v>0.876430648577484</v>
      </c>
      <c r="U87">
        <v>840.502244165171</v>
      </c>
      <c r="V87">
        <f t="shared" si="10"/>
        <v>1.64325243984597</v>
      </c>
      <c r="AA87">
        <v>6361.39274643521</v>
      </c>
      <c r="AB87">
        <f t="shared" si="11"/>
        <v>2.77577244497528</v>
      </c>
      <c r="AG87">
        <v>22158.2440873257</v>
      </c>
      <c r="AH87">
        <f t="shared" si="12"/>
        <v>0.0547829539718991</v>
      </c>
      <c r="AM87">
        <v>22953.5245453082</v>
      </c>
      <c r="AN87">
        <f t="shared" si="13"/>
        <v>0.214212341439063</v>
      </c>
    </row>
    <row r="88" spans="1:40">
      <c r="A88">
        <v>2</v>
      </c>
      <c r="C88">
        <v>11615.3831308077</v>
      </c>
      <c r="D88">
        <f t="shared" si="7"/>
        <v>2.30405573990556</v>
      </c>
      <c r="I88">
        <v>1391.78097125867</v>
      </c>
      <c r="J88">
        <f t="shared" si="8"/>
        <v>0.978953809154317</v>
      </c>
      <c r="O88">
        <v>953.928414901388</v>
      </c>
      <c r="P88">
        <f t="shared" si="9"/>
        <v>1.16715908715626</v>
      </c>
      <c r="U88">
        <v>1260.7099544702</v>
      </c>
      <c r="V88">
        <f t="shared" si="10"/>
        <v>0.6666896229263</v>
      </c>
      <c r="AA88">
        <v>4086.90651192779</v>
      </c>
      <c r="AB88">
        <f t="shared" si="11"/>
        <v>1.55653003754043</v>
      </c>
      <c r="AG88">
        <v>15268.4125230203</v>
      </c>
      <c r="AH88">
        <f t="shared" si="12"/>
        <v>1.45124740728072</v>
      </c>
      <c r="AM88">
        <v>24952.8692899141</v>
      </c>
      <c r="AN88">
        <f t="shared" si="13"/>
        <v>0.919875156585137</v>
      </c>
    </row>
    <row r="89" spans="1:40">
      <c r="A89">
        <v>1</v>
      </c>
      <c r="B89">
        <v>9</v>
      </c>
      <c r="C89">
        <v>989.482502476065</v>
      </c>
      <c r="D89">
        <f t="shared" si="7"/>
        <v>11.7388464189529</v>
      </c>
      <c r="H89">
        <v>11</v>
      </c>
      <c r="I89">
        <v>373.650646203554</v>
      </c>
      <c r="J89">
        <f t="shared" si="8"/>
        <v>3.7248188525826</v>
      </c>
      <c r="O89">
        <v>1131.85565110565</v>
      </c>
      <c r="P89">
        <f t="shared" si="9"/>
        <v>0.842800417146432</v>
      </c>
      <c r="AA89">
        <v>1454.06867695859</v>
      </c>
      <c r="AB89">
        <f t="shared" si="11"/>
        <v>2.81066952110968</v>
      </c>
      <c r="AF89">
        <v>12</v>
      </c>
      <c r="AG89">
        <v>613.000873973082</v>
      </c>
      <c r="AH89">
        <f t="shared" si="12"/>
        <v>24.9076521279002</v>
      </c>
      <c r="AL89">
        <v>13</v>
      </c>
      <c r="AM89">
        <v>31186.2461431791</v>
      </c>
      <c r="AN89">
        <f t="shared" si="13"/>
        <v>0.80012416933263</v>
      </c>
    </row>
    <row r="90" spans="1:40">
      <c r="A90">
        <v>2</v>
      </c>
      <c r="C90">
        <v>999.559435072577</v>
      </c>
      <c r="D90">
        <f t="shared" si="7"/>
        <v>0.989918625903641</v>
      </c>
      <c r="I90">
        <v>720.258365508366</v>
      </c>
      <c r="J90">
        <f t="shared" si="8"/>
        <v>0.518773073798077</v>
      </c>
      <c r="O90">
        <v>1000.58562992126</v>
      </c>
      <c r="P90">
        <f t="shared" si="9"/>
        <v>1.13119319052655</v>
      </c>
      <c r="AA90">
        <v>1479.24691358025</v>
      </c>
      <c r="AB90">
        <f t="shared" si="11"/>
        <v>0.982979016964301</v>
      </c>
      <c r="AG90">
        <v>347.666833751044</v>
      </c>
      <c r="AH90">
        <f t="shared" si="12"/>
        <v>1.76318479205882</v>
      </c>
      <c r="AM90">
        <v>18575.8598726115</v>
      </c>
      <c r="AN90">
        <f t="shared" si="13"/>
        <v>1.67885881768308</v>
      </c>
    </row>
    <row r="91" spans="1:40">
      <c r="A91">
        <v>1</v>
      </c>
      <c r="C91">
        <v>866.736854741897</v>
      </c>
      <c r="D91">
        <f t="shared" si="7"/>
        <v>1.15324441276959</v>
      </c>
      <c r="I91">
        <v>672.136720142602</v>
      </c>
      <c r="J91">
        <f t="shared" si="8"/>
        <v>1.07159502512458</v>
      </c>
      <c r="O91">
        <v>1120.04712892741</v>
      </c>
      <c r="P91">
        <f t="shared" si="9"/>
        <v>0.893342435402205</v>
      </c>
      <c r="Z91">
        <v>11</v>
      </c>
      <c r="AA91">
        <v>4737.97761569417</v>
      </c>
      <c r="AB91">
        <f t="shared" si="11"/>
        <v>0.312210616757741</v>
      </c>
      <c r="AG91">
        <v>289.620675864827</v>
      </c>
      <c r="AH91">
        <f t="shared" si="12"/>
        <v>1.20042131906808</v>
      </c>
      <c r="AM91">
        <v>18266.2842438638</v>
      </c>
      <c r="AN91">
        <f t="shared" si="13"/>
        <v>1.01694792573107</v>
      </c>
    </row>
    <row r="92" spans="1:40">
      <c r="A92">
        <v>2</v>
      </c>
      <c r="C92">
        <v>832.164168451106</v>
      </c>
      <c r="D92">
        <f t="shared" si="7"/>
        <v>1.04154551181306</v>
      </c>
      <c r="I92">
        <v>1266.61492728437</v>
      </c>
      <c r="J92">
        <f t="shared" si="8"/>
        <v>0.530655928383591</v>
      </c>
      <c r="O92">
        <v>1023.35900339751</v>
      </c>
      <c r="P92">
        <f t="shared" si="9"/>
        <v>1.09448114025371</v>
      </c>
      <c r="AA92">
        <v>2407.72566037736</v>
      </c>
      <c r="AB92">
        <f t="shared" si="11"/>
        <v>1.96782286855372</v>
      </c>
      <c r="AG92">
        <v>321.948195216662</v>
      </c>
      <c r="AH92">
        <f t="shared" si="12"/>
        <v>0.899587822413232</v>
      </c>
      <c r="AM92">
        <v>11108.2471615721</v>
      </c>
      <c r="AN92">
        <f t="shared" si="13"/>
        <v>1.64438943229983</v>
      </c>
    </row>
    <row r="93" spans="1:40">
      <c r="A93">
        <v>1</v>
      </c>
      <c r="C93">
        <v>989.435395113361</v>
      </c>
      <c r="D93">
        <f t="shared" si="7"/>
        <v>0.84104952436613</v>
      </c>
      <c r="H93">
        <v>12</v>
      </c>
      <c r="I93">
        <v>269.672180105674</v>
      </c>
      <c r="J93">
        <f t="shared" si="8"/>
        <v>4.69686909041946</v>
      </c>
      <c r="N93">
        <v>8</v>
      </c>
      <c r="O93">
        <v>36994.4498684595</v>
      </c>
      <c r="P93">
        <f t="shared" si="9"/>
        <v>0.0276625009166577</v>
      </c>
      <c r="AA93">
        <v>1750.70010729614</v>
      </c>
      <c r="AB93">
        <f t="shared" si="11"/>
        <v>1.37529303296609</v>
      </c>
      <c r="AG93">
        <v>257.310207137509</v>
      </c>
      <c r="AH93">
        <f t="shared" si="12"/>
        <v>1.25120646708201</v>
      </c>
      <c r="AM93">
        <v>1470.21436716078</v>
      </c>
      <c r="AN93">
        <f t="shared" si="13"/>
        <v>7.55552891448334</v>
      </c>
    </row>
    <row r="94" spans="1:40">
      <c r="A94">
        <v>2</v>
      </c>
      <c r="C94">
        <v>1048.34488067744</v>
      </c>
      <c r="D94">
        <f t="shared" si="7"/>
        <v>0.943807151015025</v>
      </c>
      <c r="I94">
        <v>325.780286738351</v>
      </c>
      <c r="J94">
        <f t="shared" si="8"/>
        <v>0.827773168246549</v>
      </c>
      <c r="O94">
        <v>13662.0742159445</v>
      </c>
      <c r="P94">
        <f t="shared" si="9"/>
        <v>2.70782088310461</v>
      </c>
      <c r="AA94">
        <v>1148.10371650821</v>
      </c>
      <c r="AB94">
        <f t="shared" si="11"/>
        <v>1.52486232918106</v>
      </c>
      <c r="AG94">
        <v>328.162361623616</v>
      </c>
      <c r="AH94">
        <f t="shared" si="12"/>
        <v>0.784094208319446</v>
      </c>
      <c r="AM94">
        <v>1918.54401154401</v>
      </c>
      <c r="AN94">
        <f t="shared" si="13"/>
        <v>0.766317769263775</v>
      </c>
    </row>
    <row r="95" spans="1:40">
      <c r="A95">
        <v>1</v>
      </c>
      <c r="B95">
        <v>10</v>
      </c>
      <c r="C95">
        <v>22859.4471841052</v>
      </c>
      <c r="D95">
        <f t="shared" si="7"/>
        <v>0.0458604651387363</v>
      </c>
      <c r="I95">
        <v>410.126299576434</v>
      </c>
      <c r="J95">
        <f t="shared" si="8"/>
        <v>0.79434137014575</v>
      </c>
      <c r="O95">
        <v>38337.7387513455</v>
      </c>
      <c r="P95">
        <f t="shared" si="9"/>
        <v>0.356360981657141</v>
      </c>
      <c r="AA95">
        <v>35946.3262166405</v>
      </c>
      <c r="AB95">
        <f t="shared" si="11"/>
        <v>0.031939389566234</v>
      </c>
      <c r="AF95">
        <v>13</v>
      </c>
      <c r="AG95">
        <v>941.232945932289</v>
      </c>
      <c r="AH95">
        <f t="shared" si="12"/>
        <v>0.348651588368034</v>
      </c>
      <c r="AM95">
        <v>59020.2228704784</v>
      </c>
      <c r="AN95">
        <f t="shared" si="13"/>
        <v>0.0325065531479661</v>
      </c>
    </row>
    <row r="96" spans="1:40">
      <c r="A96">
        <v>2</v>
      </c>
      <c r="C96">
        <v>17814.8981404385</v>
      </c>
      <c r="D96">
        <f t="shared" si="7"/>
        <v>1.28316463018197</v>
      </c>
      <c r="I96">
        <v>778.094628246176</v>
      </c>
      <c r="J96">
        <f t="shared" si="8"/>
        <v>0.527090516613459</v>
      </c>
      <c r="O96">
        <v>24888.8709363205</v>
      </c>
      <c r="P96">
        <f t="shared" si="9"/>
        <v>1.5403566859033</v>
      </c>
      <c r="AA96">
        <v>19411.091698318</v>
      </c>
      <c r="AB96">
        <f t="shared" si="11"/>
        <v>1.8518446450776</v>
      </c>
      <c r="AG96">
        <v>2148.67063111452</v>
      </c>
      <c r="AH96">
        <f t="shared" si="12"/>
        <v>0.438053618969078</v>
      </c>
      <c r="AM96">
        <v>43703.2131868132</v>
      </c>
      <c r="AN96">
        <f t="shared" si="13"/>
        <v>1.35047788404462</v>
      </c>
    </row>
    <row r="97" spans="1:40">
      <c r="A97">
        <v>1</v>
      </c>
      <c r="C97">
        <v>1152.32494775137</v>
      </c>
      <c r="D97">
        <f t="shared" si="7"/>
        <v>15.4599604696594</v>
      </c>
      <c r="I97">
        <v>3105.00015931177</v>
      </c>
      <c r="J97">
        <f t="shared" si="8"/>
        <v>0.250594070313556</v>
      </c>
      <c r="O97">
        <v>1673.70496141125</v>
      </c>
      <c r="P97">
        <f t="shared" si="9"/>
        <v>14.8705246803681</v>
      </c>
      <c r="AA97">
        <v>7069.77792942094</v>
      </c>
      <c r="AB97">
        <f t="shared" si="11"/>
        <v>2.74564376591499</v>
      </c>
      <c r="AG97">
        <v>322.366464995678</v>
      </c>
      <c r="AH97">
        <f t="shared" si="12"/>
        <v>6.66530444208372</v>
      </c>
      <c r="AL97">
        <v>14</v>
      </c>
      <c r="AM97">
        <v>3676.25700800915</v>
      </c>
      <c r="AN97">
        <f t="shared" si="13"/>
        <v>11.887964604107</v>
      </c>
    </row>
    <row r="98" spans="1:40">
      <c r="A98">
        <v>2</v>
      </c>
      <c r="C98">
        <v>1291.49010537137</v>
      </c>
      <c r="D98">
        <f t="shared" si="7"/>
        <v>0.892244503429639</v>
      </c>
      <c r="I98">
        <v>2336.18078991285</v>
      </c>
      <c r="J98">
        <f t="shared" si="8"/>
        <v>1.32909241130589</v>
      </c>
      <c r="O98">
        <v>1347.60390977444</v>
      </c>
      <c r="P98">
        <f t="shared" si="9"/>
        <v>1.24198583075601</v>
      </c>
      <c r="AA98">
        <v>4145.0067882902</v>
      </c>
      <c r="AB98">
        <f t="shared" si="11"/>
        <v>1.70561311247869</v>
      </c>
      <c r="AG98">
        <v>501.349415947181</v>
      </c>
      <c r="AH98">
        <f t="shared" si="12"/>
        <v>0.64299758759396</v>
      </c>
      <c r="AM98">
        <v>3692.06633825944</v>
      </c>
      <c r="AN98">
        <f t="shared" si="13"/>
        <v>0.995718026491977</v>
      </c>
    </row>
    <row r="99" spans="1:40">
      <c r="A99">
        <v>1</v>
      </c>
      <c r="C99">
        <v>1608.8843474933</v>
      </c>
      <c r="D99">
        <f t="shared" si="7"/>
        <v>0.802724016417686</v>
      </c>
      <c r="H99">
        <v>13</v>
      </c>
      <c r="I99">
        <v>338.573464217859</v>
      </c>
      <c r="J99">
        <f t="shared" si="8"/>
        <v>6.90007055133419</v>
      </c>
      <c r="N99">
        <v>9</v>
      </c>
      <c r="O99">
        <v>25252.5001203369</v>
      </c>
      <c r="P99">
        <f t="shared" si="9"/>
        <v>0.0533651679379325</v>
      </c>
      <c r="AA99">
        <v>752.582551007636</v>
      </c>
      <c r="AB99">
        <f t="shared" si="11"/>
        <v>5.50771046012219</v>
      </c>
      <c r="AF99">
        <v>14</v>
      </c>
      <c r="AG99">
        <v>13740.4650227125</v>
      </c>
      <c r="AH99">
        <f t="shared" si="12"/>
        <v>0.0364870777749129</v>
      </c>
      <c r="AM99">
        <v>4644.63976566236</v>
      </c>
      <c r="AN99">
        <f t="shared" si="13"/>
        <v>0.794909083273743</v>
      </c>
    </row>
    <row r="100" spans="1:40">
      <c r="A100">
        <v>2</v>
      </c>
      <c r="C100">
        <v>1388.54333662389</v>
      </c>
      <c r="D100">
        <f t="shared" si="7"/>
        <v>1.15868500828008</v>
      </c>
      <c r="I100">
        <v>701.405286343612</v>
      </c>
      <c r="J100">
        <f t="shared" si="8"/>
        <v>0.482707317452402</v>
      </c>
      <c r="O100">
        <v>8432.60523385301</v>
      </c>
      <c r="P100">
        <f t="shared" si="9"/>
        <v>2.9946261469658</v>
      </c>
      <c r="AA100">
        <v>596.084251968504</v>
      </c>
      <c r="AB100">
        <f t="shared" si="11"/>
        <v>1.26254392482659</v>
      </c>
      <c r="AG100">
        <v>13247.2819260293</v>
      </c>
      <c r="AH100">
        <f t="shared" si="12"/>
        <v>1.03722900285787</v>
      </c>
      <c r="AM100">
        <v>3234.33932759969</v>
      </c>
      <c r="AN100">
        <f t="shared" si="13"/>
        <v>1.43603972719501</v>
      </c>
    </row>
    <row r="101" spans="1:40">
      <c r="A101">
        <v>1</v>
      </c>
      <c r="B101">
        <v>11</v>
      </c>
      <c r="C101">
        <v>1800.79416445623</v>
      </c>
      <c r="D101">
        <f t="shared" si="7"/>
        <v>0.771072765577945</v>
      </c>
      <c r="I101">
        <v>445.376865671642</v>
      </c>
      <c r="J101">
        <f t="shared" si="8"/>
        <v>1.57485792461598</v>
      </c>
      <c r="O101">
        <v>11604.9281156954</v>
      </c>
      <c r="P101">
        <f t="shared" si="9"/>
        <v>0.726640023081927</v>
      </c>
      <c r="Z101">
        <v>12</v>
      </c>
      <c r="AA101">
        <v>10409.4862515164</v>
      </c>
      <c r="AB101">
        <f t="shared" si="11"/>
        <v>0.0572635610985767</v>
      </c>
      <c r="AG101">
        <v>8286.72897645363</v>
      </c>
      <c r="AH101">
        <f t="shared" si="12"/>
        <v>1.59861411706246</v>
      </c>
      <c r="AM101">
        <v>2282.19024988502</v>
      </c>
      <c r="AN101">
        <f t="shared" si="13"/>
        <v>1.41720845918198</v>
      </c>
    </row>
    <row r="102" spans="1:40">
      <c r="A102">
        <v>2</v>
      </c>
      <c r="C102">
        <v>2102.44296710987</v>
      </c>
      <c r="D102">
        <f t="shared" si="7"/>
        <v>0.856524620466493</v>
      </c>
      <c r="I102">
        <v>592.467804812475</v>
      </c>
      <c r="J102">
        <f t="shared" si="8"/>
        <v>0.751731760028058</v>
      </c>
      <c r="O102">
        <v>6061.0034965035</v>
      </c>
      <c r="P102">
        <f t="shared" si="9"/>
        <v>1.91468757976961</v>
      </c>
      <c r="AA102">
        <v>3495.78511705686</v>
      </c>
      <c r="AB102">
        <f t="shared" si="11"/>
        <v>2.97772486092631</v>
      </c>
      <c r="AG102">
        <v>5714.09866270431</v>
      </c>
      <c r="AH102">
        <f t="shared" si="12"/>
        <v>1.45022504258472</v>
      </c>
      <c r="AM102">
        <v>1403.01278227524</v>
      </c>
      <c r="AN102">
        <f t="shared" si="13"/>
        <v>1.62663539400121</v>
      </c>
    </row>
    <row r="103" spans="1:40">
      <c r="A103">
        <v>1</v>
      </c>
      <c r="C103">
        <v>1095.48732470334</v>
      </c>
      <c r="D103">
        <f t="shared" si="7"/>
        <v>1.91918511487955</v>
      </c>
      <c r="I103">
        <v>281.334737827715</v>
      </c>
      <c r="J103">
        <f t="shared" si="8"/>
        <v>2.10591770283019</v>
      </c>
      <c r="O103">
        <v>16363.0800850461</v>
      </c>
      <c r="P103">
        <f t="shared" si="9"/>
        <v>0.370407250041056</v>
      </c>
      <c r="AA103">
        <v>2046.67279726262</v>
      </c>
      <c r="AB103">
        <f t="shared" si="11"/>
        <v>1.70803321455799</v>
      </c>
      <c r="AG103">
        <v>396.727825883454</v>
      </c>
      <c r="AH103">
        <f t="shared" si="12"/>
        <v>14.4030700392136</v>
      </c>
      <c r="AM103">
        <v>1983.80949507141</v>
      </c>
      <c r="AN103">
        <f t="shared" si="13"/>
        <v>0.707231609567801</v>
      </c>
    </row>
    <row r="104" spans="1:40">
      <c r="A104">
        <v>2</v>
      </c>
      <c r="C104">
        <v>1359.3839719374</v>
      </c>
      <c r="D104">
        <f t="shared" si="7"/>
        <v>0.805870414333374</v>
      </c>
      <c r="I104">
        <v>540.329259394382</v>
      </c>
      <c r="J104">
        <f t="shared" si="8"/>
        <v>0.520672780413639</v>
      </c>
      <c r="O104">
        <v>11018.2759226714</v>
      </c>
      <c r="P104">
        <f t="shared" si="9"/>
        <v>1.48508534364956</v>
      </c>
      <c r="AA104">
        <v>1107.98759165257</v>
      </c>
      <c r="AB104">
        <f t="shared" si="11"/>
        <v>1.84719830139072</v>
      </c>
      <c r="AG104">
        <v>514.576677180121</v>
      </c>
      <c r="AH104">
        <f t="shared" si="12"/>
        <v>0.770979026988789</v>
      </c>
      <c r="AM104">
        <v>1472.51470588235</v>
      </c>
      <c r="AN104">
        <f t="shared" si="13"/>
        <v>1.34722559112419</v>
      </c>
    </row>
    <row r="105" spans="1:40">
      <c r="A105">
        <v>1</v>
      </c>
      <c r="C105">
        <v>1346.73422929238</v>
      </c>
      <c r="D105">
        <f t="shared" si="7"/>
        <v>1.00939290200685</v>
      </c>
      <c r="H105">
        <v>14</v>
      </c>
      <c r="I105">
        <v>1075.2228735183</v>
      </c>
      <c r="J105">
        <f t="shared" si="8"/>
        <v>0.502527683052667</v>
      </c>
      <c r="O105">
        <v>2307.52646556631</v>
      </c>
      <c r="P105">
        <f t="shared" si="9"/>
        <v>4.77492938308177</v>
      </c>
      <c r="AA105">
        <v>1290.21143617021</v>
      </c>
      <c r="AB105">
        <f t="shared" si="11"/>
        <v>0.858764354888573</v>
      </c>
      <c r="AG105">
        <v>655.532066508314</v>
      </c>
      <c r="AH105">
        <f t="shared" si="12"/>
        <v>0.784975599929092</v>
      </c>
      <c r="AM105">
        <v>7159.92951445717</v>
      </c>
      <c r="AN105">
        <f t="shared" si="13"/>
        <v>0.205660503069071</v>
      </c>
    </row>
    <row r="106" spans="1:40">
      <c r="A106">
        <v>2</v>
      </c>
      <c r="C106">
        <v>1205.92608999767</v>
      </c>
      <c r="D106">
        <f t="shared" si="7"/>
        <v>1.1167634902857</v>
      </c>
      <c r="I106">
        <v>952.233769266698</v>
      </c>
      <c r="J106">
        <f t="shared" si="8"/>
        <v>1.12915851991504</v>
      </c>
      <c r="O106">
        <v>1336.77873254565</v>
      </c>
      <c r="P106">
        <f t="shared" si="9"/>
        <v>1.72618430364466</v>
      </c>
      <c r="AA106">
        <v>1270.56117647059</v>
      </c>
      <c r="AB106">
        <f t="shared" si="11"/>
        <v>1.0154658115355</v>
      </c>
      <c r="AG106">
        <v>1012.90034662045</v>
      </c>
      <c r="AH106">
        <f t="shared" si="12"/>
        <v>0.647183179170095</v>
      </c>
      <c r="AM106">
        <v>8488.07326007326</v>
      </c>
      <c r="AN106">
        <f t="shared" si="13"/>
        <v>0.843528241931712</v>
      </c>
    </row>
    <row r="107" spans="1:40">
      <c r="A107">
        <v>1</v>
      </c>
      <c r="B107">
        <v>12</v>
      </c>
      <c r="C107">
        <v>1206.06067853663</v>
      </c>
      <c r="D107">
        <f t="shared" si="7"/>
        <v>0.999888406494503</v>
      </c>
      <c r="I107">
        <v>771.205580029369</v>
      </c>
      <c r="J107">
        <f t="shared" si="8"/>
        <v>1.23473402413716</v>
      </c>
      <c r="O107">
        <v>1945.80917782027</v>
      </c>
      <c r="P107">
        <f t="shared" si="9"/>
        <v>0.687004022687946</v>
      </c>
      <c r="AA107">
        <v>5068.40027510316</v>
      </c>
      <c r="AB107">
        <f t="shared" si="11"/>
        <v>0.250682879706996</v>
      </c>
      <c r="AF107">
        <v>15</v>
      </c>
      <c r="AG107">
        <v>3083.56248706807</v>
      </c>
      <c r="AH107">
        <f t="shared" si="12"/>
        <v>0.328483807566209</v>
      </c>
      <c r="AM107">
        <v>4438.69795447047</v>
      </c>
      <c r="AN107">
        <f t="shared" si="13"/>
        <v>1.91228899716513</v>
      </c>
    </row>
    <row r="108" spans="1:40">
      <c r="A108">
        <v>2</v>
      </c>
      <c r="C108">
        <v>1295.28102481986</v>
      </c>
      <c r="D108">
        <f t="shared" si="7"/>
        <v>0.931118927419138</v>
      </c>
      <c r="I108">
        <v>755.586946599726</v>
      </c>
      <c r="J108">
        <f t="shared" si="8"/>
        <v>1.02067086190402</v>
      </c>
      <c r="O108">
        <v>1570.65637065637</v>
      </c>
      <c r="P108">
        <f t="shared" si="9"/>
        <v>1.23885097604585</v>
      </c>
      <c r="AA108">
        <v>1921.67539585871</v>
      </c>
      <c r="AB108">
        <f t="shared" si="11"/>
        <v>2.63749033058641</v>
      </c>
      <c r="AG108">
        <v>2385.81824464409</v>
      </c>
      <c r="AH108">
        <f t="shared" si="12"/>
        <v>1.29245490262737</v>
      </c>
      <c r="AM108">
        <v>2950.01578947368</v>
      </c>
      <c r="AN108">
        <f t="shared" si="13"/>
        <v>1.50463532104091</v>
      </c>
    </row>
    <row r="109" spans="1:34">
      <c r="A109">
        <v>1</v>
      </c>
      <c r="C109">
        <v>1199.85268437674</v>
      </c>
      <c r="D109">
        <f t="shared" si="7"/>
        <v>1.0795333807939</v>
      </c>
      <c r="I109">
        <v>266.902874902875</v>
      </c>
      <c r="J109">
        <f t="shared" si="8"/>
        <v>2.83094345414856</v>
      </c>
      <c r="N109">
        <v>10</v>
      </c>
      <c r="O109">
        <v>2941.45669025952</v>
      </c>
      <c r="P109">
        <f t="shared" si="9"/>
        <v>0.53397229197952</v>
      </c>
      <c r="Z109">
        <v>13</v>
      </c>
      <c r="AA109">
        <v>3725.10891089109</v>
      </c>
      <c r="AB109">
        <f t="shared" si="11"/>
        <v>0.515870929368082</v>
      </c>
      <c r="AG109">
        <v>9031.04607739798</v>
      </c>
      <c r="AH109">
        <f t="shared" si="12"/>
        <v>0.264179611552983</v>
      </c>
    </row>
    <row r="110" spans="1:34">
      <c r="A110">
        <v>2</v>
      </c>
      <c r="C110">
        <v>1210.23452157598</v>
      </c>
      <c r="D110">
        <f t="shared" si="7"/>
        <v>0.991421631911705</v>
      </c>
      <c r="I110">
        <v>335.140747577296</v>
      </c>
      <c r="J110">
        <f t="shared" si="8"/>
        <v>0.796390402636186</v>
      </c>
      <c r="O110">
        <v>1343.4140969163</v>
      </c>
      <c r="P110">
        <f t="shared" si="9"/>
        <v>2.18953835381912</v>
      </c>
      <c r="AA110">
        <v>1673.66499848347</v>
      </c>
      <c r="AB110">
        <f t="shared" si="11"/>
        <v>2.22571955216035</v>
      </c>
      <c r="AG110">
        <v>4473.82820888238</v>
      </c>
      <c r="AH110">
        <f t="shared" si="12"/>
        <v>2.01863944160119</v>
      </c>
    </row>
    <row r="111" spans="1:34">
      <c r="A111">
        <v>1</v>
      </c>
      <c r="C111">
        <v>1659.66530194473</v>
      </c>
      <c r="D111">
        <f t="shared" si="7"/>
        <v>0.729203966702127</v>
      </c>
      <c r="I111">
        <v>6825.20008601226</v>
      </c>
      <c r="J111">
        <f t="shared" si="8"/>
        <v>0.0491034318926623</v>
      </c>
      <c r="O111">
        <v>984.337636143606</v>
      </c>
      <c r="P111">
        <f t="shared" si="9"/>
        <v>1.3647899334414</v>
      </c>
      <c r="AA111">
        <v>9027.11007141098</v>
      </c>
      <c r="AB111">
        <f t="shared" si="11"/>
        <v>0.185404297194071</v>
      </c>
      <c r="AG111">
        <v>2402.40722477064</v>
      </c>
      <c r="AH111">
        <f t="shared" si="12"/>
        <v>1.86222725387845</v>
      </c>
    </row>
    <row r="112" spans="1:34">
      <c r="A112">
        <v>2</v>
      </c>
      <c r="C112">
        <v>1680.02210274791</v>
      </c>
      <c r="D112">
        <f t="shared" si="7"/>
        <v>0.987883016080632</v>
      </c>
      <c r="I112">
        <v>3004.56265769554</v>
      </c>
      <c r="J112">
        <f t="shared" si="8"/>
        <v>2.27161183293381</v>
      </c>
      <c r="O112">
        <v>789.801191151446</v>
      </c>
      <c r="P112">
        <f t="shared" si="9"/>
        <v>1.24631065028979</v>
      </c>
      <c r="AA112">
        <v>3804.72754146822</v>
      </c>
      <c r="AB112">
        <f t="shared" si="11"/>
        <v>2.37260354993185</v>
      </c>
      <c r="AG112">
        <v>2614.96762843068</v>
      </c>
      <c r="AH112">
        <f t="shared" si="12"/>
        <v>0.918713944544084</v>
      </c>
    </row>
    <row r="113" spans="1:28">
      <c r="A113">
        <v>1</v>
      </c>
      <c r="C113">
        <v>1011.90472829922</v>
      </c>
      <c r="D113">
        <f t="shared" si="7"/>
        <v>1.66025719197067</v>
      </c>
      <c r="I113">
        <v>416.439551422319</v>
      </c>
      <c r="J113">
        <f t="shared" si="8"/>
        <v>7.21488304228951</v>
      </c>
      <c r="O113">
        <v>1568.68079381097</v>
      </c>
      <c r="P113">
        <f t="shared" si="9"/>
        <v>0.503481137952033</v>
      </c>
      <c r="AA113">
        <v>20378.3278322926</v>
      </c>
      <c r="AB113">
        <f t="shared" si="11"/>
        <v>0.186704599748319</v>
      </c>
    </row>
    <row r="114" spans="1:28">
      <c r="A114">
        <v>2</v>
      </c>
      <c r="C114">
        <v>1165.96410014171</v>
      </c>
      <c r="D114">
        <f t="shared" si="7"/>
        <v>0.867869540902875</v>
      </c>
      <c r="I114">
        <v>781.975994108984</v>
      </c>
      <c r="J114">
        <f t="shared" si="8"/>
        <v>0.532547743868822</v>
      </c>
      <c r="O114">
        <v>1374.32977913176</v>
      </c>
      <c r="P114">
        <f t="shared" si="9"/>
        <v>1.14141512294232</v>
      </c>
      <c r="AA114">
        <v>15706.2674897119</v>
      </c>
      <c r="AB114">
        <f t="shared" si="11"/>
        <v>1.29746471245578</v>
      </c>
    </row>
    <row r="115" spans="1:28">
      <c r="A115">
        <v>1</v>
      </c>
      <c r="C115">
        <v>951.344028520499</v>
      </c>
      <c r="D115">
        <f t="shared" si="7"/>
        <v>1.22559669813136</v>
      </c>
      <c r="I115">
        <v>1888.45502031341</v>
      </c>
      <c r="J115">
        <f t="shared" si="8"/>
        <v>0.414082403709677</v>
      </c>
      <c r="O115">
        <v>1121.8754339675</v>
      </c>
      <c r="P115">
        <f t="shared" si="9"/>
        <v>1.22502885571837</v>
      </c>
      <c r="AA115">
        <v>4031.29495990836</v>
      </c>
      <c r="AB115">
        <f t="shared" si="11"/>
        <v>3.89608491710786</v>
      </c>
    </row>
    <row r="116" spans="1:28">
      <c r="A116">
        <v>2</v>
      </c>
      <c r="C116">
        <v>896.77833392921</v>
      </c>
      <c r="D116">
        <f t="shared" si="7"/>
        <v>1.0608463569277</v>
      </c>
      <c r="I116">
        <v>1713.25200803213</v>
      </c>
      <c r="J116">
        <f t="shared" si="8"/>
        <v>1.10226342152812</v>
      </c>
      <c r="O116">
        <v>926.200473372781</v>
      </c>
      <c r="P116">
        <f t="shared" si="9"/>
        <v>1.21126631460483</v>
      </c>
      <c r="AA116">
        <v>2873.65765124555</v>
      </c>
      <c r="AB116">
        <f t="shared" si="11"/>
        <v>1.40284454488204</v>
      </c>
    </row>
    <row r="117" spans="1:16">
      <c r="A117">
        <v>1</v>
      </c>
      <c r="B117">
        <v>13</v>
      </c>
      <c r="C117">
        <v>5981.44228419065</v>
      </c>
      <c r="D117">
        <f t="shared" si="7"/>
        <v>0.149926772059551</v>
      </c>
      <c r="H117">
        <v>15</v>
      </c>
      <c r="I117">
        <v>203.06258322237</v>
      </c>
      <c r="J117">
        <f t="shared" si="8"/>
        <v>8.43706398709594</v>
      </c>
      <c r="N117">
        <v>11</v>
      </c>
      <c r="O117">
        <v>3252.06056572379</v>
      </c>
      <c r="P117">
        <f t="shared" si="9"/>
        <v>0.284804189422174</v>
      </c>
    </row>
    <row r="118" spans="1:16">
      <c r="A118">
        <v>2</v>
      </c>
      <c r="C118">
        <v>4836.76626756897</v>
      </c>
      <c r="D118">
        <f t="shared" si="7"/>
        <v>1.23666142899996</v>
      </c>
      <c r="I118">
        <v>234.456326268465</v>
      </c>
      <c r="J118">
        <f t="shared" si="8"/>
        <v>0.866099825303296</v>
      </c>
      <c r="O118">
        <v>2091.36349563749</v>
      </c>
      <c r="P118">
        <f t="shared" si="9"/>
        <v>1.55499537622583</v>
      </c>
    </row>
    <row r="119" spans="1:16">
      <c r="A119">
        <v>1</v>
      </c>
      <c r="C119">
        <v>2496.96430713857</v>
      </c>
      <c r="D119">
        <f t="shared" si="7"/>
        <v>1.9370586330534</v>
      </c>
      <c r="I119">
        <v>200.684135641451</v>
      </c>
      <c r="J119">
        <f t="shared" si="8"/>
        <v>1.16828530326559</v>
      </c>
      <c r="O119">
        <v>25364.8318859942</v>
      </c>
      <c r="P119">
        <f t="shared" si="9"/>
        <v>0.0824513052180837</v>
      </c>
    </row>
    <row r="120" spans="1:16">
      <c r="A120">
        <v>2</v>
      </c>
      <c r="C120">
        <v>2808.35171385991</v>
      </c>
      <c r="D120">
        <f t="shared" si="7"/>
        <v>0.889120936959368</v>
      </c>
      <c r="I120">
        <v>221.466509294777</v>
      </c>
      <c r="J120">
        <f t="shared" si="8"/>
        <v>0.906160196774203</v>
      </c>
      <c r="O120">
        <v>12102.5407666861</v>
      </c>
      <c r="P120">
        <f t="shared" si="9"/>
        <v>2.09582701475498</v>
      </c>
    </row>
    <row r="121" spans="1:16">
      <c r="A121">
        <v>1</v>
      </c>
      <c r="C121">
        <v>801.186395286556</v>
      </c>
      <c r="D121">
        <f t="shared" si="7"/>
        <v>3.50524138999572</v>
      </c>
      <c r="I121">
        <v>219.987515605493</v>
      </c>
      <c r="J121">
        <f t="shared" si="8"/>
        <v>1.00672308010395</v>
      </c>
      <c r="O121">
        <v>3781.69857515553</v>
      </c>
      <c r="P121">
        <f t="shared" si="9"/>
        <v>3.20029228299571</v>
      </c>
    </row>
    <row r="122" spans="1:16">
      <c r="A122">
        <v>2</v>
      </c>
      <c r="C122">
        <v>905.075031685678</v>
      </c>
      <c r="D122">
        <f t="shared" si="7"/>
        <v>0.885215443181951</v>
      </c>
      <c r="I122">
        <v>268.698763581866</v>
      </c>
      <c r="J122">
        <f t="shared" si="8"/>
        <v>0.818714283136134</v>
      </c>
      <c r="O122">
        <v>3415.24595469256</v>
      </c>
      <c r="P122">
        <f t="shared" si="9"/>
        <v>1.10729904238945</v>
      </c>
    </row>
    <row r="123" spans="1:16">
      <c r="A123">
        <v>1</v>
      </c>
      <c r="B123">
        <v>14</v>
      </c>
      <c r="C123">
        <v>33169.7787356322</v>
      </c>
      <c r="D123">
        <f t="shared" si="7"/>
        <v>0.0272861341312902</v>
      </c>
      <c r="I123">
        <v>200.835377358491</v>
      </c>
      <c r="J123">
        <f t="shared" si="8"/>
        <v>1.33790553793836</v>
      </c>
      <c r="O123">
        <v>23774.7016473459</v>
      </c>
      <c r="P123">
        <f t="shared" si="9"/>
        <v>0.143650423267197</v>
      </c>
    </row>
    <row r="124" spans="1:16">
      <c r="A124">
        <v>2</v>
      </c>
      <c r="C124">
        <v>36120.1979805265</v>
      </c>
      <c r="D124">
        <f t="shared" si="7"/>
        <v>0.918316636955175</v>
      </c>
      <c r="I124">
        <v>232.541136556404</v>
      </c>
      <c r="J124">
        <f t="shared" si="8"/>
        <v>0.863655266902755</v>
      </c>
      <c r="O124">
        <v>6561.9</v>
      </c>
      <c r="P124">
        <f t="shared" si="9"/>
        <v>3.6231429383785</v>
      </c>
    </row>
    <row r="125" spans="1:16">
      <c r="A125">
        <v>1</v>
      </c>
      <c r="C125">
        <v>54612.0374140666</v>
      </c>
      <c r="D125">
        <f t="shared" si="7"/>
        <v>0.661396272522565</v>
      </c>
      <c r="H125">
        <v>16</v>
      </c>
      <c r="I125">
        <v>290.704051012753</v>
      </c>
      <c r="J125">
        <f t="shared" si="8"/>
        <v>0.799923963034841</v>
      </c>
      <c r="N125">
        <v>12</v>
      </c>
      <c r="O125">
        <v>37500.7090156559</v>
      </c>
      <c r="P125">
        <f t="shared" si="9"/>
        <v>0.174980691625338</v>
      </c>
    </row>
    <row r="126" spans="1:16">
      <c r="A126">
        <v>2</v>
      </c>
      <c r="C126">
        <v>55846.8116036506</v>
      </c>
      <c r="D126">
        <f t="shared" si="7"/>
        <v>0.977889978780753</v>
      </c>
      <c r="I126">
        <v>335.709863098942</v>
      </c>
      <c r="J126">
        <f t="shared" si="8"/>
        <v>0.865938368117219</v>
      </c>
      <c r="O126">
        <v>20576.7704304429</v>
      </c>
      <c r="P126">
        <f t="shared" si="9"/>
        <v>1.82247788312661</v>
      </c>
    </row>
    <row r="127" spans="1:16">
      <c r="A127">
        <v>1</v>
      </c>
      <c r="C127">
        <v>17116.8963800905</v>
      </c>
      <c r="D127">
        <f t="shared" si="7"/>
        <v>3.2626715944024</v>
      </c>
      <c r="I127">
        <v>1125.69081081081</v>
      </c>
      <c r="J127">
        <f t="shared" si="8"/>
        <v>0.298225640535466</v>
      </c>
      <c r="O127">
        <v>12730.4317892053</v>
      </c>
      <c r="P127">
        <f t="shared" si="9"/>
        <v>1.61634505185369</v>
      </c>
    </row>
    <row r="128" spans="1:16">
      <c r="A128">
        <v>2</v>
      </c>
      <c r="C128">
        <v>20093.849340218</v>
      </c>
      <c r="D128">
        <f t="shared" si="7"/>
        <v>0.851847552466261</v>
      </c>
      <c r="I128">
        <v>732.833646152326</v>
      </c>
      <c r="J128">
        <f t="shared" si="8"/>
        <v>1.53607959558236</v>
      </c>
      <c r="O128">
        <v>8132.84408602151</v>
      </c>
      <c r="P128">
        <f t="shared" si="9"/>
        <v>1.56531118198688</v>
      </c>
    </row>
    <row r="129" spans="1:16">
      <c r="A129">
        <v>1</v>
      </c>
      <c r="I129">
        <v>357.330750154991</v>
      </c>
      <c r="J129">
        <f t="shared" si="8"/>
        <v>2.05085525338769</v>
      </c>
      <c r="O129">
        <v>2252.19962097284</v>
      </c>
      <c r="P129">
        <f t="shared" si="9"/>
        <v>3.61106715865111</v>
      </c>
    </row>
    <row r="130" spans="1:16">
      <c r="A130">
        <v>2</v>
      </c>
      <c r="I130">
        <v>508.949418723231</v>
      </c>
      <c r="J130">
        <f t="shared" si="8"/>
        <v>0.702094819267903</v>
      </c>
      <c r="O130">
        <v>1213.98754246886</v>
      </c>
      <c r="P130">
        <f t="shared" si="9"/>
        <v>1.85520818145513</v>
      </c>
    </row>
    <row r="131" spans="1:16">
      <c r="A131">
        <v>1</v>
      </c>
      <c r="I131">
        <v>438.654137713203</v>
      </c>
      <c r="J131">
        <f t="shared" si="8"/>
        <v>1.16025217812031</v>
      </c>
      <c r="O131">
        <v>2980.76219512195</v>
      </c>
      <c r="P131">
        <f t="shared" si="9"/>
        <v>0.407274201362176</v>
      </c>
    </row>
    <row r="132" spans="1:16">
      <c r="A132">
        <v>2</v>
      </c>
      <c r="I132">
        <v>370.280538302277</v>
      </c>
      <c r="J132">
        <f t="shared" si="8"/>
        <v>1.18465350548645</v>
      </c>
      <c r="O132">
        <v>1198.41747572816</v>
      </c>
      <c r="P132">
        <f t="shared" si="9"/>
        <v>2.48724860534167</v>
      </c>
    </row>
    <row r="133" spans="1:16">
      <c r="A133">
        <v>1</v>
      </c>
      <c r="H133">
        <v>17</v>
      </c>
      <c r="I133">
        <v>445.226765799256</v>
      </c>
      <c r="J133">
        <f t="shared" ref="J133:J160" si="14">I132/I133</f>
        <v>0.831667291245534</v>
      </c>
      <c r="N133">
        <v>13</v>
      </c>
      <c r="O133">
        <v>31187.4568637192</v>
      </c>
      <c r="P133">
        <f t="shared" ref="P133:P150" si="15">O132/O133</f>
        <v>0.0384262647950079</v>
      </c>
    </row>
    <row r="134" spans="1:16">
      <c r="A134">
        <v>2</v>
      </c>
      <c r="I134">
        <v>877.247336377473</v>
      </c>
      <c r="J134">
        <f t="shared" si="14"/>
        <v>0.507527064872931</v>
      </c>
      <c r="O134">
        <v>13963.1189189189</v>
      </c>
      <c r="P134">
        <f t="shared" si="15"/>
        <v>2.23355949661524</v>
      </c>
    </row>
    <row r="135" spans="1:16">
      <c r="A135">
        <v>1</v>
      </c>
      <c r="I135">
        <v>1523.39965187119</v>
      </c>
      <c r="J135">
        <f t="shared" si="14"/>
        <v>0.575848455328154</v>
      </c>
      <c r="O135">
        <v>8210.38541045518</v>
      </c>
      <c r="P135">
        <f t="shared" si="15"/>
        <v>1.70066546463679</v>
      </c>
    </row>
    <row r="136" spans="1:16">
      <c r="A136">
        <v>2</v>
      </c>
      <c r="I136">
        <v>1289.5909617613</v>
      </c>
      <c r="J136">
        <f t="shared" si="14"/>
        <v>1.18130453534705</v>
      </c>
      <c r="O136">
        <v>3960.18760698391</v>
      </c>
      <c r="P136">
        <f t="shared" si="15"/>
        <v>2.07323142872724</v>
      </c>
    </row>
    <row r="137" spans="1:16">
      <c r="A137">
        <v>1</v>
      </c>
      <c r="I137">
        <v>324.165314401623</v>
      </c>
      <c r="J137">
        <f t="shared" si="14"/>
        <v>3.97818922774559</v>
      </c>
      <c r="O137">
        <v>13055.7349697064</v>
      </c>
      <c r="P137">
        <f t="shared" si="15"/>
        <v>0.30332935037153</v>
      </c>
    </row>
    <row r="138" spans="1:16">
      <c r="A138">
        <v>2</v>
      </c>
      <c r="I138">
        <v>327.858877086495</v>
      </c>
      <c r="J138">
        <f t="shared" si="14"/>
        <v>0.988734291053228</v>
      </c>
      <c r="O138">
        <v>4268.34302759135</v>
      </c>
      <c r="P138">
        <f t="shared" si="15"/>
        <v>3.05873611500101</v>
      </c>
    </row>
    <row r="139" spans="1:16">
      <c r="A139">
        <v>1</v>
      </c>
      <c r="I139">
        <v>250.428108108108</v>
      </c>
      <c r="J139">
        <f t="shared" si="14"/>
        <v>1.30919360276028</v>
      </c>
      <c r="O139">
        <v>1524.7667214269</v>
      </c>
      <c r="P139">
        <f t="shared" si="15"/>
        <v>2.79934167476909</v>
      </c>
    </row>
    <row r="140" spans="1:16">
      <c r="A140">
        <v>2</v>
      </c>
      <c r="I140">
        <v>293.737836290784</v>
      </c>
      <c r="J140">
        <f t="shared" si="14"/>
        <v>0.852556522068877</v>
      </c>
      <c r="O140">
        <v>1476.52099031216</v>
      </c>
      <c r="P140">
        <f t="shared" si="15"/>
        <v>1.03267527616017</v>
      </c>
    </row>
    <row r="141" spans="1:16">
      <c r="A141">
        <v>1</v>
      </c>
      <c r="H141">
        <v>18</v>
      </c>
      <c r="I141">
        <v>341.171327642037</v>
      </c>
      <c r="J141">
        <f t="shared" si="14"/>
        <v>0.860968705432887</v>
      </c>
      <c r="N141">
        <v>14</v>
      </c>
      <c r="O141">
        <v>9160.6417395306</v>
      </c>
      <c r="P141">
        <f t="shared" si="15"/>
        <v>0.1611809556901</v>
      </c>
    </row>
    <row r="142" spans="1:16">
      <c r="A142">
        <v>2</v>
      </c>
      <c r="I142">
        <v>722.236389181595</v>
      </c>
      <c r="J142">
        <f t="shared" si="14"/>
        <v>0.472381802900622</v>
      </c>
      <c r="O142">
        <v>5491.91127418279</v>
      </c>
      <c r="P142">
        <f t="shared" si="15"/>
        <v>1.66802435112059</v>
      </c>
    </row>
    <row r="143" spans="1:16">
      <c r="A143">
        <v>1</v>
      </c>
      <c r="I143">
        <v>304.990170840159</v>
      </c>
      <c r="J143">
        <f t="shared" si="14"/>
        <v>2.36806447628146</v>
      </c>
      <c r="O143">
        <v>1970.79975354282</v>
      </c>
      <c r="P143">
        <f t="shared" si="15"/>
        <v>2.7866409381827</v>
      </c>
    </row>
    <row r="144" spans="1:16">
      <c r="A144">
        <v>2</v>
      </c>
      <c r="I144">
        <v>390.939072638076</v>
      </c>
      <c r="J144">
        <f t="shared" si="14"/>
        <v>0.780147578450193</v>
      </c>
      <c r="O144">
        <v>979.235316479757</v>
      </c>
      <c r="P144">
        <f t="shared" si="15"/>
        <v>2.01259055956808</v>
      </c>
    </row>
    <row r="145" spans="1:16">
      <c r="A145">
        <v>1</v>
      </c>
      <c r="I145">
        <v>433.405174558421</v>
      </c>
      <c r="J145">
        <f t="shared" si="14"/>
        <v>0.90201754752095</v>
      </c>
      <c r="O145">
        <v>1096.22080317866</v>
      </c>
      <c r="P145">
        <f t="shared" si="15"/>
        <v>0.893282916763041</v>
      </c>
    </row>
    <row r="146" spans="1:16">
      <c r="A146">
        <v>2</v>
      </c>
      <c r="I146">
        <v>432.928714859438</v>
      </c>
      <c r="J146">
        <f t="shared" si="14"/>
        <v>1.00110055000426</v>
      </c>
      <c r="O146">
        <v>892.094645941278</v>
      </c>
      <c r="P146">
        <f t="shared" si="15"/>
        <v>1.22881670478137</v>
      </c>
    </row>
    <row r="147" spans="1:16">
      <c r="A147">
        <v>1</v>
      </c>
      <c r="H147">
        <v>19</v>
      </c>
      <c r="I147">
        <v>357.588123584837</v>
      </c>
      <c r="J147">
        <f t="shared" si="14"/>
        <v>1.21069097742763</v>
      </c>
      <c r="N147">
        <v>15</v>
      </c>
      <c r="O147">
        <v>64910.1448275862</v>
      </c>
      <c r="P147">
        <f t="shared" si="15"/>
        <v>0.013743531897993</v>
      </c>
    </row>
    <row r="148" spans="1:16">
      <c r="A148">
        <v>2</v>
      </c>
      <c r="I148">
        <v>347.634751240042</v>
      </c>
      <c r="J148">
        <f t="shared" si="14"/>
        <v>1.02863169550596</v>
      </c>
      <c r="O148">
        <v>19295.3866448055</v>
      </c>
      <c r="P148">
        <f t="shared" si="15"/>
        <v>3.36402405520392</v>
      </c>
    </row>
    <row r="149" spans="1:16">
      <c r="A149">
        <v>1</v>
      </c>
      <c r="I149">
        <v>231.756857722276</v>
      </c>
      <c r="J149">
        <f t="shared" si="14"/>
        <v>1.49999769006459</v>
      </c>
      <c r="O149">
        <v>12697.2784</v>
      </c>
      <c r="P149">
        <f t="shared" si="15"/>
        <v>1.51964744230586</v>
      </c>
    </row>
    <row r="150" spans="1:16">
      <c r="A150">
        <v>2</v>
      </c>
      <c r="I150">
        <v>299.405327004219</v>
      </c>
      <c r="J150">
        <f t="shared" si="14"/>
        <v>0.774057228844864</v>
      </c>
      <c r="O150">
        <v>7070.44448127279</v>
      </c>
      <c r="P150">
        <f t="shared" si="15"/>
        <v>1.79582463784714</v>
      </c>
    </row>
    <row r="151" spans="1:10">
      <c r="A151">
        <v>1</v>
      </c>
      <c r="I151">
        <v>225.328798660527</v>
      </c>
      <c r="J151">
        <f t="shared" si="14"/>
        <v>1.32874860552243</v>
      </c>
    </row>
    <row r="152" spans="1:10">
      <c r="A152">
        <v>2</v>
      </c>
      <c r="I152">
        <v>235.978997564935</v>
      </c>
      <c r="J152">
        <f t="shared" si="14"/>
        <v>0.954868022093884</v>
      </c>
    </row>
    <row r="153" spans="1:10">
      <c r="A153">
        <v>1</v>
      </c>
      <c r="H153">
        <v>20</v>
      </c>
      <c r="I153">
        <v>288.240903387704</v>
      </c>
      <c r="J153">
        <f t="shared" si="14"/>
        <v>0.818686712369642</v>
      </c>
    </row>
    <row r="154" spans="1:10">
      <c r="A154">
        <v>2</v>
      </c>
      <c r="I154">
        <v>269.378350515464</v>
      </c>
      <c r="J154">
        <f t="shared" si="14"/>
        <v>1.07002252718582</v>
      </c>
    </row>
    <row r="155" spans="1:10">
      <c r="A155">
        <v>1</v>
      </c>
      <c r="I155">
        <v>442.824782367105</v>
      </c>
      <c r="J155">
        <f t="shared" si="14"/>
        <v>0.608318145781072</v>
      </c>
    </row>
    <row r="156" spans="1:10">
      <c r="A156">
        <v>2</v>
      </c>
      <c r="I156">
        <v>316.878159757331</v>
      </c>
      <c r="J156">
        <f t="shared" si="14"/>
        <v>1.39746072340936</v>
      </c>
    </row>
    <row r="157" spans="1:10">
      <c r="A157">
        <v>1</v>
      </c>
      <c r="I157">
        <v>263.920752565564</v>
      </c>
      <c r="J157">
        <f t="shared" si="14"/>
        <v>1.20065647235759</v>
      </c>
    </row>
    <row r="158" spans="1:10">
      <c r="A158">
        <v>2</v>
      </c>
      <c r="I158">
        <v>336.287994679082</v>
      </c>
      <c r="J158">
        <f t="shared" si="14"/>
        <v>0.784805752038286</v>
      </c>
    </row>
    <row r="159" spans="1:10">
      <c r="A159">
        <v>1</v>
      </c>
      <c r="I159">
        <v>690.855207451312</v>
      </c>
      <c r="J159">
        <f t="shared" si="14"/>
        <v>0.486770586733664</v>
      </c>
    </row>
    <row r="160" spans="1:10">
      <c r="A160">
        <v>2</v>
      </c>
      <c r="I160">
        <v>1405.2575484903</v>
      </c>
      <c r="J160">
        <f t="shared" si="14"/>
        <v>0.491621772957927</v>
      </c>
    </row>
    <row r="161" spans="1:1">
      <c r="A161">
        <v>1</v>
      </c>
    </row>
    <row r="162" spans="1:1">
      <c r="A162">
        <v>2</v>
      </c>
    </row>
    <row r="163" spans="1:1">
      <c r="A163">
        <v>1</v>
      </c>
    </row>
    <row r="164" spans="1:1">
      <c r="A164">
        <v>2</v>
      </c>
    </row>
    <row r="165" spans="1:1">
      <c r="A165">
        <v>1</v>
      </c>
    </row>
    <row r="166" spans="1:1">
      <c r="A166">
        <v>2</v>
      </c>
    </row>
    <row r="167" spans="1:1">
      <c r="A167">
        <v>1</v>
      </c>
    </row>
    <row r="168" spans="1:1">
      <c r="A168">
        <v>2</v>
      </c>
    </row>
    <row r="169" spans="1:1">
      <c r="A169">
        <v>1</v>
      </c>
    </row>
    <row r="170" spans="1:1">
      <c r="A170">
        <v>2</v>
      </c>
    </row>
    <row r="171" spans="1:1">
      <c r="A171">
        <v>1</v>
      </c>
    </row>
    <row r="172" spans="1:1">
      <c r="A172">
        <v>2</v>
      </c>
    </row>
    <row r="173" spans="1:1">
      <c r="A173">
        <v>1</v>
      </c>
    </row>
    <row r="174" spans="1:1">
      <c r="A174">
        <v>2</v>
      </c>
    </row>
    <row r="175" spans="1:1">
      <c r="A175">
        <v>1</v>
      </c>
    </row>
    <row r="176" spans="1:1">
      <c r="A176">
        <v>2</v>
      </c>
    </row>
    <row r="177" spans="1:1">
      <c r="A177">
        <v>1</v>
      </c>
    </row>
    <row r="178" spans="1:1">
      <c r="A178">
        <v>2</v>
      </c>
    </row>
    <row r="179" spans="1:1">
      <c r="A179">
        <v>1</v>
      </c>
    </row>
    <row r="180" spans="1:1">
      <c r="A180">
        <v>2</v>
      </c>
    </row>
    <row r="181" spans="1:1">
      <c r="A181">
        <v>1</v>
      </c>
    </row>
    <row r="182" spans="1:1">
      <c r="A182">
        <v>2</v>
      </c>
    </row>
    <row r="183" spans="1:1">
      <c r="A183">
        <v>1</v>
      </c>
    </row>
    <row r="184" spans="1:1">
      <c r="A184">
        <v>2</v>
      </c>
    </row>
    <row r="185" spans="1:1">
      <c r="A185">
        <v>1</v>
      </c>
    </row>
    <row r="186" spans="1:1">
      <c r="A186">
        <v>2</v>
      </c>
    </row>
    <row r="187" spans="1:1">
      <c r="A187">
        <v>1</v>
      </c>
    </row>
    <row r="188" spans="1:1">
      <c r="A188">
        <v>2</v>
      </c>
    </row>
    <row r="189" spans="1:1">
      <c r="A189">
        <v>1</v>
      </c>
    </row>
    <row r="190" spans="1:1">
      <c r="A190">
        <v>2</v>
      </c>
    </row>
    <row r="191" spans="1:1">
      <c r="A191">
        <v>1</v>
      </c>
    </row>
    <row r="192" spans="1:1">
      <c r="A192">
        <v>2</v>
      </c>
    </row>
    <row r="193" spans="1:1">
      <c r="A193">
        <v>1</v>
      </c>
    </row>
    <row r="194" spans="1:1">
      <c r="A194">
        <v>2</v>
      </c>
    </row>
    <row r="195" spans="1:1">
      <c r="A195">
        <v>1</v>
      </c>
    </row>
    <row r="196" spans="1:1">
      <c r="A196">
        <v>2</v>
      </c>
    </row>
  </sheetData>
  <sortState ref="AP3:AP55">
    <sortCondition ref="AP3:AP55" descending="1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"/>
  <sheetViews>
    <sheetView tabSelected="1" zoomScale="145" zoomScaleNormal="145" topLeftCell="F1" workbookViewId="0">
      <selection activeCell="M7" sqref="M7"/>
    </sheetView>
  </sheetViews>
  <sheetFormatPr defaultColWidth="9" defaultRowHeight="14"/>
  <cols>
    <col min="9" max="9" width="12.6666666666667"/>
    <col min="12" max="13" width="12.6666666666667"/>
  </cols>
  <sheetData>
    <row r="1" spans="1:1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K1" t="s">
        <v>14</v>
      </c>
      <c r="L1">
        <v>0</v>
      </c>
      <c r="M1">
        <v>0</v>
      </c>
    </row>
    <row r="2" spans="1:13">
      <c r="A2">
        <v>2.52149041443164</v>
      </c>
      <c r="B2">
        <v>2.32662209621089</v>
      </c>
      <c r="C2">
        <v>3.6231429383785</v>
      </c>
      <c r="D2">
        <v>3.71638648676079</v>
      </c>
      <c r="E2">
        <v>3.52048470933183</v>
      </c>
      <c r="F2">
        <v>2.97610911280018</v>
      </c>
      <c r="G2">
        <v>2.53845159910315</v>
      </c>
      <c r="H2" t="s">
        <v>15</v>
      </c>
      <c r="I2">
        <f>AVERAGE(A:A)</f>
        <v>1.11388720427363</v>
      </c>
      <c r="K2" t="s">
        <v>1</v>
      </c>
      <c r="L2" cm="1">
        <f t="array" ref="L2">ABS(AVERAGE((B2:B78-I2)/I3))</f>
        <v>0.177147630168454</v>
      </c>
      <c r="M2">
        <f>(L2-MIN(L1:L7))/(MAX(L1:L7)-MIN(L1:L7))</f>
        <v>0.124584807255099</v>
      </c>
    </row>
    <row r="3" spans="1:13">
      <c r="A3">
        <v>2.32531785135011</v>
      </c>
      <c r="B3">
        <v>2.27161183293381</v>
      </c>
      <c r="C3">
        <v>3.36402405520392</v>
      </c>
      <c r="D3">
        <v>3.47419061760187</v>
      </c>
      <c r="E3">
        <v>3.32288346836839</v>
      </c>
      <c r="F3">
        <v>2.22621979280156</v>
      </c>
      <c r="G3">
        <v>2.3701170907071</v>
      </c>
      <c r="H3" t="s">
        <v>16</v>
      </c>
      <c r="I3">
        <f>STDEV(A:A)</f>
        <v>0.405657700552877</v>
      </c>
      <c r="K3" t="s">
        <v>2</v>
      </c>
      <c r="L3" cm="1">
        <f t="array" ref="L3">ABS(AVERAGE((C2:C74-I2)/I3))</f>
        <v>1.42190395499612</v>
      </c>
      <c r="M3">
        <f>(L3-MIN(L1:L7))/(MAX(L1:L7)-MIN(L1:L7))</f>
        <v>1</v>
      </c>
    </row>
    <row r="4" spans="1:13">
      <c r="A4">
        <v>2.30405573990556</v>
      </c>
      <c r="B4">
        <v>2.03139291867802</v>
      </c>
      <c r="C4">
        <v>3.30864849733818</v>
      </c>
      <c r="D4">
        <v>3.31667341002229</v>
      </c>
      <c r="E4">
        <v>3.18861943669915</v>
      </c>
      <c r="F4">
        <v>2.21366993547695</v>
      </c>
      <c r="G4">
        <v>1.76130537812766</v>
      </c>
      <c r="K4" t="s">
        <v>3</v>
      </c>
      <c r="L4" cm="1">
        <f t="array" ref="L4">ABS(AVERAGE((D2:D43-I2)/I3))</f>
        <v>0.508634700562521</v>
      </c>
      <c r="M4">
        <f>(L4-MIN(L1:L7))/(MAX(L1:L7)-MIN(L1:L7))</f>
        <v>0.357713823620323</v>
      </c>
    </row>
    <row r="5" spans="1:13">
      <c r="A5">
        <v>2.22813832406568</v>
      </c>
      <c r="B5">
        <v>1.98894594084391</v>
      </c>
      <c r="C5">
        <v>3.09152415408568</v>
      </c>
      <c r="D5">
        <v>2.5950974650543</v>
      </c>
      <c r="E5">
        <v>2.97772486092631</v>
      </c>
      <c r="F5">
        <v>2.19942388728063</v>
      </c>
      <c r="G5">
        <v>1.75147723108926</v>
      </c>
      <c r="K5" t="s">
        <v>4</v>
      </c>
      <c r="L5" cm="1">
        <f t="array" ref="L5">ABS(AVERAGE((E2:E58-I2)/I3))</f>
        <v>1.29507927758573</v>
      </c>
      <c r="M5">
        <f>(L5-MIN(L1:L7))/(MAX(L1:L7)-MIN(L1:L7))</f>
        <v>0.910806438814126</v>
      </c>
    </row>
    <row r="6" spans="1:13">
      <c r="A6">
        <v>1.8282725290288</v>
      </c>
      <c r="B6">
        <v>1.97947365481874</v>
      </c>
      <c r="C6">
        <v>3.05873611500101</v>
      </c>
      <c r="D6">
        <v>2.24559664434385</v>
      </c>
      <c r="E6">
        <v>2.63749033058641</v>
      </c>
      <c r="F6">
        <v>2.01863944160119</v>
      </c>
      <c r="G6">
        <v>1.67885881768308</v>
      </c>
      <c r="K6" t="s">
        <v>6</v>
      </c>
      <c r="L6" cm="1">
        <f t="array" ref="L6">ABS(AVERAGE((G2:G53-I2)/I3))</f>
        <v>0.266837213319226</v>
      </c>
      <c r="M6">
        <f>(L6-MIN(L1:L7))/(MAX(L1:L7)-MIN(L1:L7))</f>
        <v>0.187661910905899</v>
      </c>
    </row>
    <row r="7" spans="1:13">
      <c r="A7">
        <v>1.56991131845459</v>
      </c>
      <c r="B7">
        <v>1.9438953666761</v>
      </c>
      <c r="C7">
        <v>3.03011715203289</v>
      </c>
      <c r="D7">
        <v>2.00624570176498</v>
      </c>
      <c r="E7">
        <v>2.37260354993185</v>
      </c>
      <c r="F7">
        <v>1.98192175956336</v>
      </c>
      <c r="G7">
        <v>1.66845953736264</v>
      </c>
      <c r="K7" t="s">
        <v>5</v>
      </c>
      <c r="L7" cm="1">
        <f t="array" ref="L7">ABS(AVERAGE((F2:F55-I2)/I3))</f>
        <v>0.248419243459263</v>
      </c>
      <c r="M7">
        <f>(L7-MIN(L1:L7))/(MAX(L1:L7)-MIN(L1:L7))</f>
        <v>0.174708877196942</v>
      </c>
    </row>
    <row r="8" spans="1:7">
      <c r="A8">
        <v>1.55365210127539</v>
      </c>
      <c r="B8">
        <v>1.57766537918489</v>
      </c>
      <c r="C8">
        <v>2.9946261469658</v>
      </c>
      <c r="D8">
        <v>1.94872549056391</v>
      </c>
      <c r="E8">
        <v>2.35071571627193</v>
      </c>
      <c r="F8">
        <v>1.93850664288856</v>
      </c>
      <c r="G8">
        <v>1.64438943229983</v>
      </c>
    </row>
    <row r="9" spans="1:7">
      <c r="A9">
        <v>1.49691071144703</v>
      </c>
      <c r="B9">
        <v>1.53607959558236</v>
      </c>
      <c r="C9">
        <v>2.70782088310461</v>
      </c>
      <c r="D9">
        <v>1.55010911401629</v>
      </c>
      <c r="E9">
        <v>2.2369142976488</v>
      </c>
      <c r="F9">
        <v>1.85582331245498</v>
      </c>
      <c r="G9">
        <v>1.63565169181608</v>
      </c>
    </row>
    <row r="10" spans="1:7">
      <c r="A10">
        <v>1.39276581870699</v>
      </c>
      <c r="B10">
        <v>1.50221109978247</v>
      </c>
      <c r="C10">
        <v>2.49893730105516</v>
      </c>
      <c r="D10">
        <v>1.46602123836321</v>
      </c>
      <c r="E10">
        <v>2.22571955216035</v>
      </c>
      <c r="F10">
        <v>1.77598384094266</v>
      </c>
      <c r="G10">
        <v>1.63123017520619</v>
      </c>
    </row>
    <row r="11" spans="1:7">
      <c r="A11">
        <v>1.38611327705251</v>
      </c>
      <c r="B11">
        <v>1.47790592054032</v>
      </c>
      <c r="C11">
        <v>2.49443729241023</v>
      </c>
      <c r="D11">
        <v>1.41887775150461</v>
      </c>
      <c r="E11">
        <v>2.11437116323283</v>
      </c>
      <c r="F11">
        <v>1.7684012296672</v>
      </c>
      <c r="G11">
        <v>1.62663539400121</v>
      </c>
    </row>
    <row r="12" spans="1:7">
      <c r="A12">
        <v>1.3342902403077</v>
      </c>
      <c r="B12">
        <v>1.43525622836836</v>
      </c>
      <c r="C12">
        <v>2.48724860534167</v>
      </c>
      <c r="D12">
        <v>1.40989456193724</v>
      </c>
      <c r="E12">
        <v>1.96782286855372</v>
      </c>
      <c r="F12">
        <v>1.76318479205882</v>
      </c>
      <c r="G12">
        <v>1.57145470320886</v>
      </c>
    </row>
    <row r="13" spans="1:7">
      <c r="A13">
        <v>1.28580595546947</v>
      </c>
      <c r="B13">
        <v>1.39746072340936</v>
      </c>
      <c r="C13">
        <v>2.48008362775002</v>
      </c>
      <c r="D13">
        <v>1.40237568539517</v>
      </c>
      <c r="E13">
        <v>1.8518446450776</v>
      </c>
      <c r="F13">
        <v>1.67888058630695</v>
      </c>
      <c r="G13">
        <v>1.50463532104091</v>
      </c>
    </row>
    <row r="14" spans="1:7">
      <c r="A14">
        <v>1.28316463018197</v>
      </c>
      <c r="B14">
        <v>1.37882235674558</v>
      </c>
      <c r="C14">
        <v>2.33353424086545</v>
      </c>
      <c r="D14">
        <v>1.23193739508097</v>
      </c>
      <c r="E14">
        <v>1.84719830139072</v>
      </c>
      <c r="F14">
        <v>1.59680073070258</v>
      </c>
      <c r="G14">
        <v>1.50005930331817</v>
      </c>
    </row>
    <row r="15" spans="1:7">
      <c r="A15">
        <v>1.27275156123658</v>
      </c>
      <c r="B15">
        <v>1.32909241130589</v>
      </c>
      <c r="C15">
        <v>2.23355949661524</v>
      </c>
      <c r="D15">
        <v>1.22851597226774</v>
      </c>
      <c r="E15">
        <v>1.78454046770099</v>
      </c>
      <c r="F15">
        <v>1.51655475021347</v>
      </c>
      <c r="G15">
        <v>1.43719896110922</v>
      </c>
    </row>
    <row r="16" spans="1:7">
      <c r="A16">
        <v>1.26932669618238</v>
      </c>
      <c r="B16">
        <v>1.29677401153451</v>
      </c>
      <c r="C16">
        <v>2.18953835381912</v>
      </c>
      <c r="D16">
        <v>1.21463625396837</v>
      </c>
      <c r="E16">
        <v>1.77810842788806</v>
      </c>
      <c r="F16">
        <v>1.49592755237906</v>
      </c>
      <c r="G16">
        <v>1.43603972719501</v>
      </c>
    </row>
    <row r="17" spans="1:7">
      <c r="A17">
        <v>1.23666142899996</v>
      </c>
      <c r="B17">
        <v>1.18465350548645</v>
      </c>
      <c r="C17">
        <v>2.09582701475498</v>
      </c>
      <c r="D17">
        <v>1.20304926194344</v>
      </c>
      <c r="E17">
        <v>1.75579425056162</v>
      </c>
      <c r="F17">
        <v>1.46938523443053</v>
      </c>
      <c r="G17">
        <v>1.39495582756923</v>
      </c>
    </row>
    <row r="18" spans="1:7">
      <c r="A18">
        <v>1.22533523138089</v>
      </c>
      <c r="B18">
        <v>1.18130453534705</v>
      </c>
      <c r="C18">
        <v>2.07323142872724</v>
      </c>
      <c r="D18">
        <v>1.15967203636817</v>
      </c>
      <c r="E18">
        <v>1.73707487231232</v>
      </c>
      <c r="F18">
        <v>1.45124740728072</v>
      </c>
      <c r="G18">
        <v>1.35047788404462</v>
      </c>
    </row>
    <row r="19" spans="1:7">
      <c r="A19">
        <v>1.22005212937787</v>
      </c>
      <c r="B19">
        <v>1.17355515297132</v>
      </c>
      <c r="C19">
        <v>2.01259055956808</v>
      </c>
      <c r="D19">
        <v>1.14765561701362</v>
      </c>
      <c r="E19">
        <v>1.71336586923111</v>
      </c>
      <c r="F19">
        <v>1.45022504258472</v>
      </c>
      <c r="G19">
        <v>1.34722559112419</v>
      </c>
    </row>
    <row r="20" spans="1:7">
      <c r="A20">
        <v>1.21395420118168</v>
      </c>
      <c r="B20">
        <v>1.12915851991504</v>
      </c>
      <c r="C20">
        <v>1.98629525940926</v>
      </c>
      <c r="D20">
        <v>1.12325495354579</v>
      </c>
      <c r="E20">
        <v>1.70561311247869</v>
      </c>
      <c r="F20">
        <v>1.41610465430264</v>
      </c>
      <c r="G20">
        <v>1.345370406969</v>
      </c>
    </row>
    <row r="21" spans="1:7">
      <c r="A21">
        <v>1.15868500828008</v>
      </c>
      <c r="B21">
        <v>1.10226342152812</v>
      </c>
      <c r="C21">
        <v>1.91468757976961</v>
      </c>
      <c r="D21">
        <v>1.12213663547934</v>
      </c>
      <c r="E21">
        <v>1.67257290721917</v>
      </c>
      <c r="F21">
        <v>1.29374576674003</v>
      </c>
      <c r="G21">
        <v>1.32440086841458</v>
      </c>
    </row>
    <row r="22" spans="1:7">
      <c r="A22">
        <v>1.1167634902857</v>
      </c>
      <c r="B22">
        <v>1.08979711586285</v>
      </c>
      <c r="C22">
        <v>1.85520818145513</v>
      </c>
      <c r="D22">
        <v>1.08572012838285</v>
      </c>
      <c r="E22">
        <v>1.66116552499885</v>
      </c>
      <c r="F22">
        <v>1.29245490262737</v>
      </c>
      <c r="G22">
        <v>1.31247347361434</v>
      </c>
    </row>
    <row r="23" spans="1:7">
      <c r="A23">
        <v>1.11634345790986</v>
      </c>
      <c r="B23">
        <v>1.08917659450764</v>
      </c>
      <c r="C23">
        <v>1.82247788312661</v>
      </c>
      <c r="D23">
        <v>1.07625270234416</v>
      </c>
      <c r="E23">
        <v>1.61939817248881</v>
      </c>
      <c r="F23">
        <v>1.28349390176494</v>
      </c>
      <c r="G23">
        <v>1.27780128889713</v>
      </c>
    </row>
    <row r="24" spans="1:7">
      <c r="A24">
        <v>1.11471276235265</v>
      </c>
      <c r="B24">
        <v>1.07002252718582</v>
      </c>
      <c r="C24">
        <v>1.81426112060878</v>
      </c>
      <c r="D24">
        <v>1.04458133191285</v>
      </c>
      <c r="E24">
        <v>1.60616844525507</v>
      </c>
      <c r="F24">
        <v>1.24280547791299</v>
      </c>
      <c r="G24">
        <v>1.25905737411433</v>
      </c>
    </row>
    <row r="25" spans="1:7">
      <c r="A25">
        <v>1.10173417699941</v>
      </c>
      <c r="B25">
        <v>1.06946277782312</v>
      </c>
      <c r="C25">
        <v>1.79582463784714</v>
      </c>
      <c r="D25">
        <v>1.03895701393106</v>
      </c>
      <c r="E25">
        <v>1.57058455788889</v>
      </c>
      <c r="F25">
        <v>1.21157489700603</v>
      </c>
      <c r="G25">
        <v>1.23389454157693</v>
      </c>
    </row>
    <row r="26" spans="1:7">
      <c r="A26">
        <v>1.08581372641484</v>
      </c>
      <c r="B26">
        <v>1.06415245357768</v>
      </c>
      <c r="C26">
        <v>1.77199430656249</v>
      </c>
      <c r="D26">
        <v>1.02160452343051</v>
      </c>
      <c r="E26">
        <v>1.55653003754043</v>
      </c>
      <c r="F26">
        <v>1.10502077750837</v>
      </c>
      <c r="G26">
        <v>1.20562902848619</v>
      </c>
    </row>
    <row r="27" spans="1:7">
      <c r="A27">
        <v>1.06938957065663</v>
      </c>
      <c r="B27">
        <v>1.0611516248083</v>
      </c>
      <c r="C27">
        <v>1.72618430364466</v>
      </c>
      <c r="D27">
        <v>1.00797313150934</v>
      </c>
      <c r="E27">
        <v>1.53907423568994</v>
      </c>
      <c r="F27">
        <v>1.06904119864684</v>
      </c>
      <c r="G27">
        <v>1.19555937544436</v>
      </c>
    </row>
    <row r="28" spans="1:7">
      <c r="A28">
        <v>1.06837679150288</v>
      </c>
      <c r="B28">
        <v>1.04978251315757</v>
      </c>
      <c r="C28">
        <v>1.68451388793688</v>
      </c>
      <c r="D28">
        <v>0.997963699345813</v>
      </c>
      <c r="E28">
        <v>1.53471734190729</v>
      </c>
      <c r="F28">
        <v>1.0580789778116</v>
      </c>
      <c r="G28">
        <v>1.13032137726276</v>
      </c>
    </row>
    <row r="29" spans="1:7">
      <c r="A29">
        <v>1.0608463569277</v>
      </c>
      <c r="B29">
        <v>1.04151544626065</v>
      </c>
      <c r="C29">
        <v>1.66823018760021</v>
      </c>
      <c r="D29">
        <v>0.976495212814631</v>
      </c>
      <c r="E29">
        <v>1.52486232918106</v>
      </c>
      <c r="F29">
        <v>1.05485691689952</v>
      </c>
      <c r="G29">
        <v>1.12363088965251</v>
      </c>
    </row>
    <row r="30" spans="1:7">
      <c r="A30">
        <v>1.05582271178476</v>
      </c>
      <c r="B30">
        <v>1.02881141149816</v>
      </c>
      <c r="C30">
        <v>1.66802435112059</v>
      </c>
      <c r="D30">
        <v>0.956229031979285</v>
      </c>
      <c r="E30">
        <v>1.51132753354935</v>
      </c>
      <c r="F30">
        <v>1.03722900285787</v>
      </c>
      <c r="G30">
        <v>1.08527482817955</v>
      </c>
    </row>
    <row r="31" spans="1:7">
      <c r="A31">
        <v>1.0425754650943</v>
      </c>
      <c r="B31">
        <v>1.02863169550596</v>
      </c>
      <c r="C31">
        <v>1.61786438381687</v>
      </c>
      <c r="D31">
        <v>0.939680496790564</v>
      </c>
      <c r="E31">
        <v>1.50251736808113</v>
      </c>
      <c r="F31">
        <v>1.01752881532493</v>
      </c>
      <c r="G31">
        <v>1.05497647221994</v>
      </c>
    </row>
    <row r="32" spans="1:7">
      <c r="A32">
        <v>1.04154551181306</v>
      </c>
      <c r="B32">
        <v>1.02067086190402</v>
      </c>
      <c r="C32">
        <v>1.60559550776719</v>
      </c>
      <c r="D32">
        <v>0.921677722458521</v>
      </c>
      <c r="E32">
        <v>1.46192782612859</v>
      </c>
      <c r="F32">
        <v>1.0055151561921</v>
      </c>
      <c r="G32">
        <v>1.04103370140163</v>
      </c>
    </row>
    <row r="33" spans="1:7">
      <c r="A33">
        <v>1.01551318229678</v>
      </c>
      <c r="B33">
        <v>1.00364814491495</v>
      </c>
      <c r="C33">
        <v>1.56531118198688</v>
      </c>
      <c r="D33">
        <v>0.913303486434712</v>
      </c>
      <c r="E33">
        <v>1.45339964149921</v>
      </c>
      <c r="F33">
        <v>0.992847377410422</v>
      </c>
      <c r="G33">
        <v>1.03318523508669</v>
      </c>
    </row>
    <row r="34" spans="1:7">
      <c r="A34">
        <v>0.991421631911705</v>
      </c>
      <c r="B34">
        <v>1.00110055000426</v>
      </c>
      <c r="C34">
        <v>1.55499537622583</v>
      </c>
      <c r="D34">
        <v>0.902466661300645</v>
      </c>
      <c r="E34">
        <v>1.4369669491726</v>
      </c>
      <c r="F34">
        <v>0.939191514948234</v>
      </c>
      <c r="G34">
        <v>1.02485771171469</v>
      </c>
    </row>
    <row r="35" spans="1:7">
      <c r="A35">
        <v>0.989918625903641</v>
      </c>
      <c r="B35">
        <v>0.997323432773152</v>
      </c>
      <c r="C35">
        <v>1.5403566859033</v>
      </c>
      <c r="D35">
        <v>0.876620181998698</v>
      </c>
      <c r="E35">
        <v>1.42789637085258</v>
      </c>
      <c r="F35">
        <v>0.924154626596898</v>
      </c>
      <c r="G35">
        <v>1.01564463088623</v>
      </c>
    </row>
    <row r="36" spans="1:7">
      <c r="A36">
        <v>0.987883016080632</v>
      </c>
      <c r="B36">
        <v>0.996943920154125</v>
      </c>
      <c r="C36">
        <v>1.53962409224374</v>
      </c>
      <c r="D36">
        <v>0.839538430534045</v>
      </c>
      <c r="E36">
        <v>1.40347896109276</v>
      </c>
      <c r="F36">
        <v>0.918713944544084</v>
      </c>
      <c r="G36">
        <v>1.01437186228112</v>
      </c>
    </row>
    <row r="37" spans="1:7">
      <c r="A37">
        <v>0.977889978780753</v>
      </c>
      <c r="B37">
        <v>0.988734291053228</v>
      </c>
      <c r="C37">
        <v>1.52626358091858</v>
      </c>
      <c r="D37">
        <v>0.818677720927178</v>
      </c>
      <c r="E37">
        <v>1.40284454488204</v>
      </c>
      <c r="F37">
        <v>0.912595964389432</v>
      </c>
      <c r="G37">
        <v>0.995718026491977</v>
      </c>
    </row>
    <row r="38" spans="1:7">
      <c r="A38">
        <v>0.976608631066988</v>
      </c>
      <c r="B38">
        <v>0.978953809154317</v>
      </c>
      <c r="C38">
        <v>1.50008650252353</v>
      </c>
      <c r="D38">
        <v>0.81677679827419</v>
      </c>
      <c r="E38">
        <v>1.39745167253752</v>
      </c>
      <c r="F38">
        <v>0.900627137780686</v>
      </c>
      <c r="G38">
        <v>0.954814807620911</v>
      </c>
    </row>
    <row r="39" spans="1:7">
      <c r="A39">
        <v>0.968702892619119</v>
      </c>
      <c r="B39">
        <v>0.976344896158372</v>
      </c>
      <c r="C39">
        <v>1.49672993149399</v>
      </c>
      <c r="D39">
        <v>0.741931946558219</v>
      </c>
      <c r="E39">
        <v>1.39724131148822</v>
      </c>
      <c r="F39">
        <v>0.899587822413232</v>
      </c>
      <c r="G39">
        <v>0.940667941212879</v>
      </c>
    </row>
    <row r="40" spans="1:7">
      <c r="A40">
        <v>0.943807151015025</v>
      </c>
      <c r="B40">
        <v>0.970021098747572</v>
      </c>
      <c r="C40">
        <v>1.48508534364956</v>
      </c>
      <c r="D40">
        <v>0.707162017565243</v>
      </c>
      <c r="E40">
        <v>1.34858550384153</v>
      </c>
      <c r="F40">
        <v>0.890996370657598</v>
      </c>
      <c r="G40">
        <v>0.919875156585137</v>
      </c>
    </row>
    <row r="41" spans="1:7">
      <c r="A41">
        <v>0.931118927419138</v>
      </c>
      <c r="B41">
        <v>0.966039776642455</v>
      </c>
      <c r="C41">
        <v>1.47823200350536</v>
      </c>
      <c r="D41">
        <v>0.6666896229263</v>
      </c>
      <c r="E41">
        <v>1.34825668144941</v>
      </c>
      <c r="F41">
        <v>0.799893141985576</v>
      </c>
      <c r="G41">
        <v>0.916903775487885</v>
      </c>
    </row>
    <row r="42" spans="1:7">
      <c r="A42">
        <v>0.918316636955175</v>
      </c>
      <c r="B42">
        <v>0.954868022093884</v>
      </c>
      <c r="C42">
        <v>1.44566716208657</v>
      </c>
      <c r="D42">
        <v>0.643630518233986</v>
      </c>
      <c r="E42">
        <v>1.29746471245578</v>
      </c>
      <c r="F42">
        <v>0.787324784722095</v>
      </c>
      <c r="G42">
        <v>0.911716857473679</v>
      </c>
    </row>
    <row r="43" spans="1:7">
      <c r="A43">
        <v>0.908412893914561</v>
      </c>
      <c r="B43">
        <v>0.952019264521336</v>
      </c>
      <c r="C43">
        <v>1.44100475995329</v>
      </c>
      <c r="D43">
        <v>0.474204395010822</v>
      </c>
      <c r="E43">
        <v>1.2963356684613</v>
      </c>
      <c r="F43">
        <v>0.784094208319446</v>
      </c>
      <c r="G43">
        <v>0.843528241931712</v>
      </c>
    </row>
    <row r="44" spans="1:7">
      <c r="A44">
        <v>0.892244503429639</v>
      </c>
      <c r="B44">
        <v>0.94825522366968</v>
      </c>
      <c r="C44">
        <v>1.42368493126369</v>
      </c>
      <c r="E44">
        <v>1.28907432381307</v>
      </c>
      <c r="F44">
        <v>0.770979026988789</v>
      </c>
      <c r="G44">
        <v>0.843314309123519</v>
      </c>
    </row>
    <row r="45" spans="1:7">
      <c r="A45">
        <v>0.889120936959368</v>
      </c>
      <c r="B45">
        <v>0.945192079422172</v>
      </c>
      <c r="C45">
        <v>1.3882173524768</v>
      </c>
      <c r="E45">
        <v>1.27564808805745</v>
      </c>
      <c r="F45">
        <v>0.703168989949643</v>
      </c>
      <c r="G45">
        <v>0.837593252102151</v>
      </c>
    </row>
    <row r="46" spans="1:7">
      <c r="A46">
        <v>0.885215443181951</v>
      </c>
      <c r="B46">
        <v>0.934999449436974</v>
      </c>
      <c r="C46">
        <v>1.27130317365549</v>
      </c>
      <c r="E46">
        <v>1.26254392482659</v>
      </c>
      <c r="F46">
        <v>0.683619587906548</v>
      </c>
      <c r="G46">
        <v>0.834386147491495</v>
      </c>
    </row>
    <row r="47" spans="1:7">
      <c r="A47">
        <v>0.870466431044077</v>
      </c>
      <c r="B47">
        <v>0.931358603581481</v>
      </c>
      <c r="C47">
        <v>1.26703640788248</v>
      </c>
      <c r="E47">
        <v>1.23962995436921</v>
      </c>
      <c r="F47">
        <v>0.649982450589165</v>
      </c>
      <c r="G47">
        <v>0.822095825793037</v>
      </c>
    </row>
    <row r="48" spans="1:7">
      <c r="A48">
        <v>0.867869540902875</v>
      </c>
      <c r="B48">
        <v>0.928513263075546</v>
      </c>
      <c r="C48">
        <v>1.2486415336281</v>
      </c>
      <c r="E48">
        <v>1.20342181251834</v>
      </c>
      <c r="F48">
        <v>0.647183179170095</v>
      </c>
      <c r="G48">
        <v>0.815736672324993</v>
      </c>
    </row>
    <row r="49" spans="1:7">
      <c r="A49">
        <v>0.856524620466493</v>
      </c>
      <c r="B49">
        <v>0.906160196774203</v>
      </c>
      <c r="C49">
        <v>1.24631065028979</v>
      </c>
      <c r="E49">
        <v>1.20181746158254</v>
      </c>
      <c r="F49">
        <v>0.64299758759396</v>
      </c>
      <c r="G49">
        <v>0.766317769263775</v>
      </c>
    </row>
    <row r="50" spans="1:7">
      <c r="A50">
        <v>0.856297478604493</v>
      </c>
      <c r="B50">
        <v>0.893444195176148</v>
      </c>
      <c r="C50">
        <v>1.24198583075601</v>
      </c>
      <c r="E50">
        <v>1.13499127289793</v>
      </c>
      <c r="F50">
        <v>0.617584955404411</v>
      </c>
      <c r="G50">
        <v>0.747511882831451</v>
      </c>
    </row>
    <row r="51" spans="1:7">
      <c r="A51">
        <v>0.851847552466261</v>
      </c>
      <c r="B51">
        <v>0.888678467800221</v>
      </c>
      <c r="C51">
        <v>1.23885097604585</v>
      </c>
      <c r="E51">
        <v>1.10617688974341</v>
      </c>
      <c r="F51">
        <v>0.57896405898364</v>
      </c>
      <c r="G51">
        <v>0.719464717672899</v>
      </c>
    </row>
    <row r="52" spans="1:7">
      <c r="A52">
        <v>0.850449098603234</v>
      </c>
      <c r="B52">
        <v>0.866099825303296</v>
      </c>
      <c r="C52">
        <v>1.2356296442394</v>
      </c>
      <c r="E52">
        <v>1.09076836065677</v>
      </c>
      <c r="F52">
        <v>0.568733880848121</v>
      </c>
      <c r="G52">
        <v>0.618545745175158</v>
      </c>
    </row>
    <row r="53" spans="1:7">
      <c r="A53">
        <v>0.838516243886905</v>
      </c>
      <c r="B53">
        <v>0.865938368117219</v>
      </c>
      <c r="C53">
        <v>1.22881670478137</v>
      </c>
      <c r="E53">
        <v>1.0154658115355</v>
      </c>
      <c r="F53">
        <v>0.547174000841602</v>
      </c>
      <c r="G53">
        <v>0.536554421042732</v>
      </c>
    </row>
    <row r="54" spans="1:6">
      <c r="A54">
        <v>0.826675672460004</v>
      </c>
      <c r="B54">
        <v>0.863655266902755</v>
      </c>
      <c r="C54">
        <v>1.21126631460483</v>
      </c>
      <c r="E54">
        <v>0.982979016964301</v>
      </c>
      <c r="F54">
        <v>0.528836972771803</v>
      </c>
    </row>
    <row r="55" spans="1:6">
      <c r="A55">
        <v>0.825639495284402</v>
      </c>
      <c r="B55">
        <v>0.852556522068877</v>
      </c>
      <c r="C55">
        <v>1.20947297826149</v>
      </c>
      <c r="E55">
        <v>0.963550606318652</v>
      </c>
      <c r="F55">
        <v>0.438053618969078</v>
      </c>
    </row>
    <row r="56" spans="1:5">
      <c r="A56">
        <v>0.805870414333374</v>
      </c>
      <c r="B56">
        <v>0.832278767003155</v>
      </c>
      <c r="C56">
        <v>1.19024398679776</v>
      </c>
      <c r="E56">
        <v>0.92331856221689</v>
      </c>
    </row>
    <row r="57" spans="1:5">
      <c r="A57">
        <v>0.768784212502435</v>
      </c>
      <c r="B57">
        <v>0.827773168246549</v>
      </c>
      <c r="C57">
        <v>1.170183165121</v>
      </c>
      <c r="E57">
        <v>0.886262949893706</v>
      </c>
    </row>
    <row r="58" spans="1:5">
      <c r="A58">
        <v>0.765850744649978</v>
      </c>
      <c r="B58">
        <v>0.818714283136134</v>
      </c>
      <c r="C58">
        <v>1.16715908715626</v>
      </c>
      <c r="E58">
        <v>0.801719671597877</v>
      </c>
    </row>
    <row r="59" spans="1:3">
      <c r="A59">
        <v>0.726597489621242</v>
      </c>
      <c r="B59">
        <v>0.808167519687061</v>
      </c>
      <c r="C59">
        <v>1.16480591290992</v>
      </c>
    </row>
    <row r="60" spans="1:3">
      <c r="A60">
        <v>0.724781628222025</v>
      </c>
      <c r="B60">
        <v>0.796442273953297</v>
      </c>
      <c r="C60">
        <v>1.14972009728822</v>
      </c>
    </row>
    <row r="61" spans="1:3">
      <c r="A61">
        <v>0.668808854610868</v>
      </c>
      <c r="B61">
        <v>0.796390402636186</v>
      </c>
      <c r="C61">
        <v>1.14943624804082</v>
      </c>
    </row>
    <row r="62" spans="1:3">
      <c r="A62">
        <v>0.644937999180686</v>
      </c>
      <c r="B62">
        <v>0.794695189000878</v>
      </c>
      <c r="C62">
        <v>1.14670307973931</v>
      </c>
    </row>
    <row r="63" spans="1:3">
      <c r="A63">
        <v>0.592300956614898</v>
      </c>
      <c r="B63">
        <v>0.784805752038286</v>
      </c>
      <c r="C63">
        <v>1.14489050412233</v>
      </c>
    </row>
    <row r="64" spans="1:3">
      <c r="A64">
        <v>0.575921794191616</v>
      </c>
      <c r="B64">
        <v>0.780147578450193</v>
      </c>
      <c r="C64">
        <v>1.14156105917613</v>
      </c>
    </row>
    <row r="65" spans="2:3">
      <c r="B65">
        <v>0.779006840783285</v>
      </c>
      <c r="C65">
        <v>1.14141512294232</v>
      </c>
    </row>
    <row r="66" spans="2:3">
      <c r="B66">
        <v>0.774057228844864</v>
      </c>
      <c r="C66">
        <v>1.13119319052655</v>
      </c>
    </row>
    <row r="67" spans="2:3">
      <c r="B67">
        <v>0.751731760028058</v>
      </c>
      <c r="C67">
        <v>1.10729904238945</v>
      </c>
    </row>
    <row r="68" spans="2:3">
      <c r="B68">
        <v>0.729804520421147</v>
      </c>
      <c r="C68">
        <v>1.09448114025371</v>
      </c>
    </row>
    <row r="69" spans="2:3">
      <c r="B69">
        <v>0.702094819267903</v>
      </c>
      <c r="C69">
        <v>1.06514748371587</v>
      </c>
    </row>
    <row r="70" spans="2:3">
      <c r="B70">
        <v>0.680119941646307</v>
      </c>
      <c r="C70">
        <v>1.03267527616017</v>
      </c>
    </row>
    <row r="71" spans="2:3">
      <c r="B71">
        <v>0.532547743868822</v>
      </c>
      <c r="C71">
        <v>0.927091880501514</v>
      </c>
    </row>
    <row r="72" spans="2:3">
      <c r="B72">
        <v>0.530655928383591</v>
      </c>
      <c r="C72">
        <v>0.922673071820848</v>
      </c>
    </row>
    <row r="73" spans="2:3">
      <c r="B73">
        <v>0.527090516613459</v>
      </c>
      <c r="C73">
        <v>0.890614593441435</v>
      </c>
    </row>
    <row r="74" spans="2:3">
      <c r="B74">
        <v>0.520672780413639</v>
      </c>
      <c r="C74">
        <v>0.88996847953859</v>
      </c>
    </row>
    <row r="75" spans="2:2">
      <c r="B75">
        <v>0.518773073798077</v>
      </c>
    </row>
    <row r="76" spans="2:2">
      <c r="B76">
        <v>0.507527064872931</v>
      </c>
    </row>
    <row r="77" spans="2:2">
      <c r="B77">
        <v>0.491621772957927</v>
      </c>
    </row>
    <row r="78" spans="2:2">
      <c r="B78">
        <v>0.482707317452402</v>
      </c>
    </row>
    <row r="79" spans="2:2">
      <c r="B79">
        <v>0.472381802900622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曲如梦</dc:creator>
  <cp:lastModifiedBy>彭川</cp:lastModifiedBy>
  <dcterms:created xsi:type="dcterms:W3CDTF">2015-06-05T18:19:00Z</dcterms:created>
  <dcterms:modified xsi:type="dcterms:W3CDTF">2025-05-30T08:09:26Z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A5C149AAFFD84134BBC512F5B84E87AA_12</vt:lpwstr>
  </property>
  <property fmtid="{D5CDD505-2E9C-101B-9397-08002B2CF9AE}" pid="3" name="KSOProductBuildVer">
    <vt:lpwstr>2052-12.1.0.20305</vt:lpwstr>
  </property>
</Properties>
</file>