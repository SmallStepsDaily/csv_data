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10" windowHeight="1409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<sst xmlns="http://schemas.openxmlformats.org/spreadsheetml/2006/main" count="49" uniqueCount="17">
  <si>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细胞系</t>
  </si>
  <si>
    <t>时间</t>
  </si>
  <si>
    <t>靶点药物</t>
  </si>
  <si>
    <t>ED_FRET表征值</t>
  </si>
  <si>
    <t>ED_FRET归一化</t>
  </si>
  <si>
    <t>EA_FRET表征值</t>
  </si>
  <si>
    <t>EA_FRET归一化</t>
  </si>
  <si>
    <t>A549</t>
  </si>
  <si>
    <t>1h</t>
  </si>
  <si>
    <t>gef</t>
  </si>
  <si>
    <t>afa</t>
  </si>
  <si>
    <t>dac</t>
  </si>
  <si>
    <t>osi</t>
  </si>
  <si>
    <t>alm</t>
  </si>
  <si>
    <t>vin</t>
  </si>
  <si>
    <t>control</t>
  </si>
  <si>
    <t>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</si>
</sst>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85" zoomScaleNormal="85" workbookViewId="0">
      <selection activeCell="G10" sqref="G10"/>
    </sheetView>
  </sheetViews>
  <sheetFormatPr defaultColWidth="9" defaultRowHeight="14" outlineLevelCol="6"/>
  <cols>
    <col min="4" max="4" width="19.5833333333333" customWidth="1"/>
    <col min="5" max="5" width="23.8333333333333" customWidth="1"/>
    <col min="6" max="6" width="26.75" customWidth="1"/>
    <col min="7" max="7" width="29.0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>
        <v>1.60539431204042</v>
      </c>
      <c r="E2">
        <f>(D2-MIN($D$2:$D$8))/(MAX($D$2:$D$8)-MIN($D$2:$D$8))</f>
        <v>0.980788437844304</v>
      </c>
      <c r="F2">
        <v>0.896229915808317</v>
      </c>
      <c r="G2">
        <f>(F2-MIN($F$2:$F$8))/(MAX($F$2:$F$8)-MIN($F$2:$F$8))</f>
        <v>0.840712957291931</v>
      </c>
    </row>
    <row r="3" spans="1:7">
      <c r="A3" t="s">
        <v>7</v>
      </c>
      <c r="B3" t="s">
        <v>8</v>
      </c>
      <c r="C3" s="1" t="s">
        <v>10</v>
      </c>
      <c r="D3">
        <v>1.07541204022405</v>
      </c>
      <c r="E3">
        <f t="shared" ref="E3:E8" si="0">(D3-MIN($D$2:$D$8))/(MAX($D$2:$D$8)-MIN($D$2:$D$8))</f>
        <v>0.657004753947169</v>
      </c>
      <c r="F3">
        <v>1.06603556901896</v>
      </c>
      <c r="G3">
        <f t="shared" ref="G3:G8" si="1">(F3-MIN($F$2:$F$8))/(MAX($F$2:$F$8)-MIN($F$2:$F$8))</f>
        <v>1</v>
      </c>
    </row>
    <row r="4" spans="1:7">
      <c r="A4" t="s">
        <v>7</v>
      </c>
      <c r="B4" t="s">
        <v>8</v>
      </c>
      <c r="C4" s="1" t="s">
        <v>11</v>
      </c>
      <c r="D4">
        <v>1.63684057651511</v>
      </c>
      <c r="E4">
        <f t="shared" si="0"/>
        <v>1</v>
      </c>
      <c r="F4">
        <v>0.894043255331806</v>
      </c>
      <c r="G4">
        <f t="shared" si="1"/>
        <v>0.838661749489809</v>
      </c>
    </row>
    <row r="5" spans="1:7">
      <c r="A5" t="s">
        <v>7</v>
      </c>
      <c r="B5" t="s">
        <v>8</v>
      </c>
      <c r="C5" s="1" t="s">
        <v>12</v>
      </c>
      <c r="D5">
        <v>1.48106478773594</v>
      </c>
      <c r="E5">
        <f t="shared" si="0"/>
        <v>0.904831422794507</v>
      </c>
      <c r="F5">
        <v>0.991334339374757</v>
      </c>
      <c r="G5">
        <f t="shared" si="1"/>
        <v>0.929926137724514</v>
      </c>
    </row>
    <row r="6" spans="1:7">
      <c r="A6" t="s">
        <v>7</v>
      </c>
      <c r="B6" t="s">
        <v>8</v>
      </c>
      <c r="C6" s="1" t="s">
        <v>13</v>
      </c>
      <c r="D6">
        <v>1.26412552178854</v>
      </c>
      <c r="E6">
        <f t="shared" si="0"/>
        <v>0.772296056149778</v>
      </c>
      <c r="F6">
        <v>0.916906011716881</v>
      </c>
      <c r="G6">
        <f t="shared" si="1"/>
        <v>0.860108272522915</v>
      </c>
    </row>
    <row r="7" spans="1:7">
      <c r="A7" t="s">
        <v>7</v>
      </c>
      <c r="B7" t="s">
        <v>8</v>
      </c>
      <c r="C7" s="1" t="s">
        <v>14</v>
      </c>
      <c r="D7">
        <v>0.63409115921667</v>
      </c>
      <c r="E7">
        <f t="shared" si="0"/>
        <v>0.387387243641451</v>
      </c>
      <c r="F7">
        <v>0.778937927737989</v>
      </c>
      <c r="G7">
        <f t="shared" si="1"/>
        <v>0.730686620949075</v>
      </c>
    </row>
    <row r="8" spans="1:7">
      <c r="A8" t="s">
        <v>7</v>
      </c>
      <c r="B8" t="s">
        <v>8</v>
      </c>
      <c r="C8" s="1" t="s">
        <v>15</v>
      </c>
      <c r="D8">
        <v>0</v>
      </c>
      <c r="E8">
        <f t="shared" si="0"/>
        <v>0</v>
      </c>
      <c r="F8">
        <v>0</v>
      </c>
      <c r="G8">
        <f t="shared" si="1"/>
        <v>0</v>
      </c>
    </row>
    <row r="9" spans="1:7">
      <c r="A9" t="s">
        <v>7</v>
      </c>
      <c r="B9" t="s">
        <v>16</v>
      </c>
      <c r="C9" s="1" t="s">
        <v>9</v>
      </c>
      <c r="D9">
        <v>1.0207409960443</v>
      </c>
      <c r="E9">
        <f>(D9-MIN($D$9:$D$15))/(MAX($D$9:$D$15)-MIN($D$9:$D$15))</f>
        <v>0.916954966228926</v>
      </c>
      <c r="F9">
        <v>0.675677634345438</v>
      </c>
      <c r="G9">
        <f>(F9-MIN($F$9:$F$15))/(MAX($F$9:$F$15)-MIN($F$9:$F$15))</f>
        <v>0.809610031872099</v>
      </c>
    </row>
    <row r="10" spans="1:7">
      <c r="A10" t="s">
        <v>7</v>
      </c>
      <c r="B10" t="s">
        <v>16</v>
      </c>
      <c r="C10" s="1" t="s">
        <v>10</v>
      </c>
      <c r="D10">
        <v>0.81703059143001</v>
      </c>
      <c r="E10">
        <f t="shared" ref="E10:E15" si="2">(D10-MIN($D$9:$D$15))/(MAX($D$9:$D$15)-MIN($D$9:$D$15))</f>
        <v>0.733957253873429</v>
      </c>
      <c r="F10">
        <v>0.570419623832795</v>
      </c>
      <c r="G10">
        <f t="shared" ref="G10:G15" si="3">(F10-MIN($F$9:$F$15))/(MAX($F$9:$F$15)-MIN($F$9:$F$15))</f>
        <v>0.683487844435054</v>
      </c>
    </row>
    <row r="11" spans="1:7">
      <c r="A11" t="s">
        <v>7</v>
      </c>
      <c r="B11" t="s">
        <v>16</v>
      </c>
      <c r="C11" s="1" t="s">
        <v>11</v>
      </c>
      <c r="D11">
        <v>0.884476015459143</v>
      </c>
      <c r="E11">
        <f t="shared" si="2"/>
        <v>0.794545019773492</v>
      </c>
      <c r="F11">
        <v>0.718807516285288</v>
      </c>
      <c r="G11">
        <f t="shared" si="3"/>
        <v>0.861289091999329</v>
      </c>
    </row>
    <row r="12" spans="1:7">
      <c r="A12" t="s">
        <v>7</v>
      </c>
      <c r="B12" t="s">
        <v>16</v>
      </c>
      <c r="C12" s="1" t="s">
        <v>12</v>
      </c>
      <c r="D12">
        <v>1.11318552561224</v>
      </c>
      <c r="E12">
        <f t="shared" si="2"/>
        <v>1</v>
      </c>
      <c r="F12">
        <v>0.834571716932702</v>
      </c>
      <c r="G12">
        <f t="shared" si="3"/>
        <v>1</v>
      </c>
    </row>
    <row r="13" spans="1:7">
      <c r="A13" t="s">
        <v>7</v>
      </c>
      <c r="B13" t="s">
        <v>16</v>
      </c>
      <c r="C13" s="1" t="s">
        <v>13</v>
      </c>
      <c r="D13">
        <v>1.00711493927162</v>
      </c>
      <c r="E13">
        <f t="shared" si="2"/>
        <v>0.904714368000529</v>
      </c>
      <c r="F13">
        <v>0.672794617428995</v>
      </c>
      <c r="G13">
        <f t="shared" si="3"/>
        <v>0.806155545148012</v>
      </c>
    </row>
    <row r="14" spans="1:7">
      <c r="A14" t="s">
        <v>7</v>
      </c>
      <c r="B14" t="s">
        <v>16</v>
      </c>
      <c r="C14" s="1" t="s">
        <v>14</v>
      </c>
      <c r="D14">
        <v>0.141635918421059</v>
      </c>
      <c r="E14">
        <f t="shared" si="2"/>
        <v>0.127234782668559</v>
      </c>
      <c r="F14">
        <v>0.174285324071085</v>
      </c>
      <c r="G14">
        <f t="shared" si="3"/>
        <v>0.208832051859647</v>
      </c>
    </row>
    <row r="15" spans="1:7">
      <c r="A15" t="s">
        <v>7</v>
      </c>
      <c r="B15" t="s">
        <v>16</v>
      </c>
      <c r="C15" s="1" t="s">
        <v>15</v>
      </c>
      <c r="D15">
        <v>0</v>
      </c>
      <c r="E15">
        <f t="shared" si="2"/>
        <v>0</v>
      </c>
      <c r="F15">
        <v>0</v>
      </c>
      <c r="G15">
        <f t="shared" si="3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p</dc:creator>
  <cp:lastModifiedBy>彭川</cp:lastModifiedBy>
  <dcterms:created xsi:type="dcterms:W3CDTF">2015-06-05T18:19:00Z</dcterms:created>
  <dcterms:modified xsi:type="dcterms:W3CDTF">2025-05-26T13:15:12Z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FF6698048AB94D6A93BDE3392B4FEFE3_12</vt:lpwstr>
  </property>
  <property fmtid="{D5CDD505-2E9C-101B-9397-08002B2CF9AE}" pid="3" name="KSOProductBuildVer">
    <vt:lpwstr>2052-12.1.0.20305</vt:lpwstr>
  </property>
</Properties>
</file>