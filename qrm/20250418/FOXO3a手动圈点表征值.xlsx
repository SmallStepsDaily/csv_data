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10" windowHeight="1409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<sst xmlns="http://schemas.openxmlformats.org/spreadsheetml/2006/main" count="33" uniqueCount="13">
  <si>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细胞系</t>
  </si>
  <si>
    <t>时间</t>
  </si>
  <si>
    <t>靶点药物</t>
  </si>
  <si>
    <t>FOXO3a表征值</t>
  </si>
  <si>
    <t>FOXO3a表征值归一化</t>
  </si>
  <si>
    <t>A549</t>
  </si>
  <si>
    <t>gef</t>
  </si>
  <si>
    <t>afa</t>
  </si>
  <si>
    <t>dac</t>
  </si>
  <si>
    <t>osi</t>
  </si>
  <si>
    <t>alm</t>
  </si>
  <si>
    <t>vin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</si>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</sst>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17" sqref="E17"/>
    </sheetView>
  </sheetViews>
  <sheetFormatPr defaultColWidth="9" defaultRowHeight="14" outlineLevelCol="4"/>
  <cols>
    <col min="1" max="1" width="17" customWidth="1"/>
    <col min="2" max="3" width="20.1666666666667" customWidth="1"/>
    <col min="4" max="4" width="17.8333333333333" customWidth="1"/>
    <col min="5" max="5" width="19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s="2" t="s">
        <v>6</v>
      </c>
      <c r="D2">
        <v>0.409044818929708</v>
      </c>
      <c r="E2">
        <f>(D2-MIN($D$2:$D$8))/(MAX($D$2:$D$8)-MIN($D$2:$D$8))</f>
        <v>0.226186350566178</v>
      </c>
    </row>
    <row r="3" spans="1:5">
      <c r="A3" t="s">
        <v>5</v>
      </c>
      <c r="B3">
        <v>6</v>
      </c>
      <c r="C3" s="2" t="s">
        <v>7</v>
      </c>
      <c r="D3">
        <v>1.7815214920936</v>
      </c>
      <c r="E3">
        <f t="shared" ref="E3:E8" si="0">(D3-MIN($D$2:$D$8))/(MAX($D$2:$D$8)-MIN($D$2:$D$8))</f>
        <v>0.985114163788268</v>
      </c>
    </row>
    <row r="4" spans="1:5">
      <c r="A4" t="s">
        <v>5</v>
      </c>
      <c r="B4">
        <v>6</v>
      </c>
      <c r="C4" s="2" t="s">
        <v>8</v>
      </c>
      <c r="D4">
        <v>1.8084416584193</v>
      </c>
      <c r="E4">
        <f t="shared" si="0"/>
        <v>1</v>
      </c>
    </row>
    <row r="5" spans="1:5">
      <c r="A5" t="s">
        <v>5</v>
      </c>
      <c r="B5">
        <v>6</v>
      </c>
      <c r="C5" s="2" t="s">
        <v>9</v>
      </c>
      <c r="D5">
        <v>1.21509629068713</v>
      </c>
      <c r="E5">
        <f t="shared" si="0"/>
        <v>0.671902400074774</v>
      </c>
    </row>
    <row r="6" spans="1:5">
      <c r="A6" t="s">
        <v>5</v>
      </c>
      <c r="B6">
        <v>6</v>
      </c>
      <c r="C6" s="2" t="s">
        <v>10</v>
      </c>
      <c r="D6">
        <v>0.561921530258288</v>
      </c>
      <c r="E6">
        <f t="shared" si="0"/>
        <v>0.310721403503525</v>
      </c>
    </row>
    <row r="7" spans="1:5">
      <c r="A7" t="s">
        <v>5</v>
      </c>
      <c r="B7">
        <v>6</v>
      </c>
      <c r="C7" s="2" t="s">
        <v>11</v>
      </c>
      <c r="D7">
        <v>0.460581291426197</v>
      </c>
      <c r="E7">
        <f t="shared" si="0"/>
        <v>0.25468407525448</v>
      </c>
    </row>
    <row r="8" spans="1:5">
      <c r="A8" t="s">
        <v>5</v>
      </c>
      <c r="B8">
        <v>6</v>
      </c>
      <c r="C8" t="s">
        <v>12</v>
      </c>
      <c r="D8">
        <v>0</v>
      </c>
      <c r="E8">
        <f>(D8-MIN($D$2:$D$8))/(MAX($D$2:$D$8)-MIN($D$2:$D$8))</f>
        <v>0</v>
      </c>
    </row>
    <row r="9" spans="1:5">
      <c r="A9" t="s">
        <v>5</v>
      </c>
      <c r="B9">
        <v>8</v>
      </c>
      <c r="C9" s="2" t="s">
        <v>6</v>
      </c>
      <c r="D9">
        <v>0.979605287775699</v>
      </c>
      <c r="E9">
        <f>(D9-MIN($D$9:$D$15))/(MAX($D$9:$D$15)-MIN($D$9:$D$15))</f>
        <v>0.232254283963749</v>
      </c>
    </row>
    <row r="10" spans="1:5">
      <c r="A10" t="s">
        <v>5</v>
      </c>
      <c r="B10">
        <v>8</v>
      </c>
      <c r="C10" s="2" t="s">
        <v>7</v>
      </c>
      <c r="D10">
        <v>4.21781364398255</v>
      </c>
      <c r="E10">
        <f t="shared" ref="E10:E15" si="1">(D10-MIN($D$9:$D$15))/(MAX($D$9:$D$15)-MIN($D$9:$D$15))</f>
        <v>1</v>
      </c>
    </row>
    <row r="11" spans="1:5">
      <c r="A11" t="s">
        <v>5</v>
      </c>
      <c r="B11">
        <v>8</v>
      </c>
      <c r="C11" s="2" t="s">
        <v>8</v>
      </c>
      <c r="D11">
        <v>3.41743572317246</v>
      </c>
      <c r="E11">
        <f t="shared" si="1"/>
        <v>0.810238671414047</v>
      </c>
    </row>
    <row r="12" spans="1:5">
      <c r="A12" t="s">
        <v>5</v>
      </c>
      <c r="B12">
        <v>8</v>
      </c>
      <c r="C12" s="2" t="s">
        <v>9</v>
      </c>
      <c r="D12">
        <v>2.60482618540718</v>
      </c>
      <c r="E12">
        <f t="shared" si="1"/>
        <v>0.617577352931043</v>
      </c>
    </row>
    <row r="13" spans="1:5">
      <c r="A13" t="s">
        <v>5</v>
      </c>
      <c r="B13">
        <v>8</v>
      </c>
      <c r="C13" s="2" t="s">
        <v>10</v>
      </c>
      <c r="D13">
        <v>1.52103295720034</v>
      </c>
      <c r="E13">
        <f t="shared" si="1"/>
        <v>0.360621185663421</v>
      </c>
    </row>
    <row r="14" spans="1:5">
      <c r="A14" t="s">
        <v>5</v>
      </c>
      <c r="B14">
        <v>8</v>
      </c>
      <c r="C14" s="2" t="s">
        <v>11</v>
      </c>
      <c r="D14">
        <v>0.907897960062949</v>
      </c>
      <c r="E14">
        <f t="shared" si="1"/>
        <v>0.215253218064346</v>
      </c>
    </row>
    <row r="15" spans="1:5">
      <c r="A15" t="s">
        <v>5</v>
      </c>
      <c r="B15">
        <v>8</v>
      </c>
      <c r="C15" t="s">
        <v>12</v>
      </c>
      <c r="D15">
        <v>0</v>
      </c>
      <c r="E15">
        <f t="shared" si="1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p</dc:creator>
  <cp:lastModifiedBy>彭川</cp:lastModifiedBy>
  <dcterms:created xsi:type="dcterms:W3CDTF">2015-06-05T18:19:00Z</dcterms:created>
  <dcterms:modified xsi:type="dcterms:W3CDTF">2025-05-26T15:22:37Z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A2AC89FBA8A147FA804EEB799D0B9F12_12</vt:lpwstr>
  </property>
  <property fmtid="{D5CDD505-2E9C-101B-9397-08002B2CF9AE}" pid="3" name="KSOProductBuildVer">
    <vt:lpwstr>2052-12.1.0.20305</vt:lpwstr>
  </property>
</Properties>
</file>